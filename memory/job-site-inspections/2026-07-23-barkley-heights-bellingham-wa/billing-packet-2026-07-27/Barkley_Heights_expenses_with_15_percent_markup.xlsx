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calcPr fullCalcOnLoad="1" forceFullCalc="1"/>
  <sheets>
    <sheet name="Expenses" sheetId="1" r:id="rId1"/>
    <sheet name="Itinerary" sheetId="2" r:id="rId2"/>
    <sheet name="Receipt Index" sheetId="3" r:id="rId3"/>
  </sheets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2" width="18" customWidth="1"/>
    <col min="4" max="5" width="30" customWidth="1"/>
    <col min="12" max="12" width="50" customWidth="1"/>
  </cols>
  <sheetData>
    <row r="1">
      <c r="A1" s="1" t="inlineStr">
        <is>
          <t>Receipt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Vendor</t>
        </is>
      </c>
      <c r="E1" s="1" t="inlineStr">
        <is>
          <t>Location</t>
        </is>
      </c>
      <c r="F1" s="1" t="inlineStr">
        <is>
          <t>Category</t>
        </is>
      </c>
      <c r="G1" s="1" t="inlineStr">
        <is>
          <t>Amount</t>
        </is>
      </c>
      <c r="H1" s="1" t="inlineStr">
        <is>
          <t>15% Markup</t>
        </is>
      </c>
      <c r="I1" s="1" t="inlineStr">
        <is>
          <t>Billable Total</t>
        </is>
      </c>
      <c r="J1" s="1" t="inlineStr">
        <is>
          <t>Payment</t>
        </is>
      </c>
      <c r="K1" s="1" t="inlineStr">
        <is>
          <t>Receipt PDF</t>
        </is>
      </c>
      <c r="L1" s="1" t="inlineStr">
        <is>
          <t>Description</t>
        </is>
      </c>
    </row>
    <row r="2">
      <c r="A2" t="inlineStr">
        <is>
          <t>R006</t>
        </is>
      </c>
      <c r="B2" t="inlineStr">
        <is>
          <t>2026-07-22</t>
        </is>
      </c>
      <c r="C2" t="inlineStr">
        <is>
          <t>14:09</t>
        </is>
      </c>
      <c r="D2" t="inlineStr">
        <is>
          <t>Alaska Airlines</t>
        </is>
      </c>
      <c r="E2" t="inlineStr">
        <is>
          <t>SBA-SEA / SEA-SBA</t>
        </is>
      </c>
      <c r="F2" t="inlineStr">
        <is>
          <t>Airfare</t>
        </is>
      </c>
      <c r="G2" s="2">
        <v>896.80</v>
      </c>
      <c r="H2" s="2">
        <f>ROUND(G2*15%,2)</f>
        <v>134.52</v>
      </c>
      <c r="I2" s="2">
        <f>ROUND(G2+H2,2)</f>
        <v>1031.32</v>
      </c>
      <c r="J2" t="inlineStr">
        <is>
          <t>Credit card ending 3514</t>
        </is>
      </c>
      <c r="K2" t="inlineStr">
        <is>
          <t>receipt-pdfs/R006_Alaska_Airlines_$896.80.pdf</t>
        </is>
      </c>
      <c r="L2" t="inlineStr">
        <is>
          <t>Round-trip airfare for David Salter; confirmation INBEDI; e-ticket 0272152879104; Alaska 2143 SBA-SEA and Alaska 400 SEA-SBA</t>
        </is>
      </c>
    </row>
    <row r="3">
      <c r="A3" t="inlineStr">
        <is>
          <t>R001</t>
        </is>
      </c>
      <c r="B3" t="inlineStr">
        <is>
          <t>2026-07-23</t>
        </is>
      </c>
      <c r="C3" t="inlineStr">
        <is>
          <t>09:42</t>
        </is>
      </c>
      <c r="D3" t="inlineStr">
        <is>
          <t>SBA Airport Restaurant and Coffee Shop</t>
        </is>
      </c>
      <c r="E3" t="inlineStr">
        <is>
          <t>Goleta, CA / Santa Barbara Airport</t>
        </is>
      </c>
      <c r="F3" t="inlineStr">
        <is>
          <t>Meal - outbound breakfast</t>
        </is>
      </c>
      <c r="G3" s="2">
        <v>18.72</v>
      </c>
      <c r="H3" s="2">
        <f>ROUND(G3*15%,2)</f>
        <v>2.81</v>
      </c>
      <c r="I3" s="2">
        <f>ROUND(G3+H3,2)</f>
        <v>21.53</v>
      </c>
      <c r="J3" t="inlineStr">
        <is>
          <t>Mastercard ending 8609</t>
        </is>
      </c>
      <c r="K3" t="inlineStr">
        <is>
          <t>receipt-pdfs/R001_SBA_Airport_Restaurant_and_Coffee_Shop_$18.72.pdf</t>
        </is>
      </c>
      <c r="L3" t="inlineStr">
        <is>
          <t>16 oz dirty chai, butter croissant, tax, tip; check/order #221</t>
        </is>
      </c>
    </row>
    <row r="4">
      <c r="A4" t="inlineStr">
        <is>
          <t>R002</t>
        </is>
      </c>
      <c r="B4" t="inlineStr">
        <is>
          <t>2026-07-23</t>
        </is>
      </c>
      <c r="C4" t="inlineStr">
        <is>
          <t>14:33</t>
        </is>
      </c>
      <c r="D4" t="inlineStr">
        <is>
          <t>Hudson</t>
        </is>
      </c>
      <c r="E4" t="inlineStr">
        <is>
          <t>SEA-TAC International Airport, Seattle, WA</t>
        </is>
      </c>
      <c r="F4" t="inlineStr">
        <is>
          <t>Meal - outbound lunch</t>
        </is>
      </c>
      <c r="G4" s="2">
        <v>23.23</v>
      </c>
      <c r="H4" s="2">
        <f>ROUND(G4*15%,2)</f>
        <v>3.48</v>
      </c>
      <c r="I4" s="2">
        <f>ROUND(G4+H4,2)</f>
        <v>26.71</v>
      </c>
      <c r="J4" t="inlineStr">
        <is>
          <t>Mastercard ending 8609</t>
        </is>
      </c>
      <c r="K4" t="inlineStr">
        <is>
          <t>receipt-pdfs/R002_Hudson_$23.23.pdf</t>
        </is>
      </c>
      <c r="L4" t="inlineStr">
        <is>
          <t>ET FRUMAGE, Kit Kat bar, Barq's root beer, taxes; store 2366 transaction 116010</t>
        </is>
      </c>
    </row>
    <row r="5">
      <c r="A5" t="inlineStr">
        <is>
          <t>R003</t>
        </is>
      </c>
      <c r="B5" t="inlineStr">
        <is>
          <t>2026-07-24</t>
        </is>
      </c>
      <c r="C5" t="inlineStr">
        <is>
          <t>06:36</t>
        </is>
      </c>
      <c r="D5" t="inlineStr">
        <is>
          <t>GURANAND</t>
        </is>
      </c>
      <c r="E5" t="inlineStr">
        <is>
          <t>4603 S 188th St, SeaTac, WA</t>
        </is>
      </c>
      <c r="F5" t="inlineStr">
        <is>
          <t>Fuel</t>
        </is>
      </c>
      <c r="G5" s="2">
        <v>45.42</v>
      </c>
      <c r="H5" s="2">
        <f>ROUND(G5*15%,2)</f>
        <v>6.81</v>
      </c>
      <c r="I5" s="2">
        <f>ROUND(G5+H5,2)</f>
        <v>52.23</v>
      </c>
      <c r="J5" t="inlineStr">
        <is>
          <t>Mastercard ending 8609</t>
        </is>
      </c>
      <c r="K5" t="inlineStr">
        <is>
          <t>receipt-pdfs/R003_GURANAND_$45.42.pdf</t>
        </is>
      </c>
      <c r="L5" t="inlineStr">
        <is>
          <t>Regular gasoline, 7.327 gallons at $6.199/gallon; pump 2 invoice 063019</t>
        </is>
      </c>
    </row>
    <row r="6">
      <c r="A6" t="inlineStr">
        <is>
          <t>R004</t>
        </is>
      </c>
      <c r="B6" t="inlineStr">
        <is>
          <t>2026-07-24</t>
        </is>
      </c>
      <c r="C6" t="inlineStr">
        <is>
          <t>07:40</t>
        </is>
      </c>
      <c r="D6" t="inlineStr">
        <is>
          <t>Capitol Hill Foo</t>
        </is>
      </c>
      <c r="E6" t="inlineStr">
        <is>
          <t>SEATAC Airport</t>
        </is>
      </c>
      <c r="F6" t="inlineStr">
        <is>
          <t>Meal - return breakfast</t>
        </is>
      </c>
      <c r="G6" s="2">
        <v>15.24</v>
      </c>
      <c r="H6" s="2">
        <f>ROUND(G6*15%,2)</f>
        <v>2.29</v>
      </c>
      <c r="I6" s="2">
        <f>ROUND(G6+H6,2)</f>
        <v>17.53</v>
      </c>
      <c r="J6" t="inlineStr">
        <is>
          <t>Mastercard ending 8609</t>
        </is>
      </c>
      <c r="K6" t="inlineStr">
        <is>
          <t>receipt-pdfs/R004_Capitol_Hill_Foo_$15.24.pdf</t>
        </is>
      </c>
      <c r="L6" t="inlineStr">
        <is>
          <t>Large latte with vanilla and blueberry muffin; check 839</t>
        </is>
      </c>
    </row>
    <row r="7">
      <c r="A7" t="inlineStr">
        <is>
          <t>R005</t>
        </is>
      </c>
      <c r="B7" t="inlineStr">
        <is>
          <t>2026-07-24</t>
        </is>
      </c>
      <c r="C7" t="inlineStr">
        <is>
          <t>13:58</t>
        </is>
      </c>
      <c r="D7" t="inlineStr">
        <is>
          <t>Santa Barbara Airport</t>
        </is>
      </c>
      <c r="E7" t="inlineStr">
        <is>
          <t>Santa Barbara Airport</t>
        </is>
      </c>
      <c r="F7" t="inlineStr">
        <is>
          <t>Parking</t>
        </is>
      </c>
      <c r="G7" s="2">
        <v>46.00</v>
      </c>
      <c r="H7" s="2">
        <f>ROUND(G7*15%,2)</f>
        <v>6.90</v>
      </c>
      <c r="I7" s="2">
        <f>ROUND(G7+H7,2)</f>
        <v>52.90</v>
      </c>
      <c r="J7" t="inlineStr">
        <is>
          <t>Mastercard ending 1676</t>
        </is>
      </c>
      <c r="K7" t="inlineStr">
        <is>
          <t>receipt-pdfs/R005_Santa_Barbara_Airport_$46.00.pdf</t>
        </is>
      </c>
      <c r="L7" t="inlineStr">
        <is>
          <t>Airport parking; ticket 30472590; entry 2026-07-23 09:16 AM</t>
        </is>
      </c>
    </row>
    <row r="8">
      <c r="A8" s="3" t="inlineStr">
        <is>
          <t>TOTAL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2">
        <f>SUM(G2:G7)</f>
        <v>1045.41</v>
      </c>
      <c r="H8" s="2">
        <f>SUM(H2:H7)</f>
        <v>156.81</v>
      </c>
      <c r="I8" s="2">
        <f>SUM(I2:I7)</f>
        <v>1202.22</v>
      </c>
      <c r="J8" t="inlineStr">
        <is>
          <t/>
        </is>
      </c>
      <c r="K8" t="inlineStr">
        <is>
          <t/>
        </is>
      </c>
      <c r="L8" t="inlineStr">
        <is>
          <t/>
        </is>
      </c>
    </row>
  </sheetData>
  <autoFilter ref="A1:L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2" width="18" customWidth="1"/>
    <col min="4" max="5" width="30" customWidth="1"/>
    <col min="12" max="12" width="50" customWidth="1"/>
  </cols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Reference</t>
        </is>
      </c>
    </row>
    <row r="2">
      <c r="A2" t="inlineStr">
        <is>
          <t>2026-07-22 14:09 PT</t>
        </is>
      </c>
      <c r="B2" t="inlineStr">
        <is>
          <t>Alaska Airlines round-trip reservation printed/receipt created; confirmation INBEDI.</t>
        </is>
      </c>
      <c r="C2" t="inlineStr">
        <is>
          <t>Receipt R006</t>
        </is>
      </c>
    </row>
    <row r="3">
      <c r="A3" t="inlineStr">
        <is>
          <t>2026-07-23 08:30 PT</t>
        </is>
      </c>
      <c r="B3" t="inlineStr">
        <is>
          <t>Departed home to drive to airport.</t>
        </is>
      </c>
      <c r="C3" t="inlineStr">
        <is>
          <t>Travel/logistics</t>
        </is>
      </c>
    </row>
    <row r="4">
      <c r="A4" t="inlineStr">
        <is>
          <t>2026-07-23 09:42 PT</t>
        </is>
      </c>
      <c r="B4" t="inlineStr">
        <is>
          <t>Outbound airport breakfast at SBA Airport Restaurant and Coffee Shop.</t>
        </is>
      </c>
      <c r="C4" t="inlineStr">
        <is>
          <t>Receipt R001</t>
        </is>
      </c>
    </row>
    <row r="5">
      <c r="A5" t="inlineStr">
        <is>
          <t>2026-07-23 10:45 PT</t>
        </is>
      </c>
      <c r="B5" t="inlineStr">
        <is>
          <t>Boarded flight for Seattle.</t>
        </is>
      </c>
      <c r="C5" t="inlineStr">
        <is>
          <t>Travel/logistics</t>
        </is>
      </c>
    </row>
    <row r="6">
      <c r="A6" t="inlineStr">
        <is>
          <t>2026-07-23 10:51 PT</t>
        </is>
      </c>
      <c r="B6" t="inlineStr">
        <is>
          <t>Alaska 2143 departed Santa Barbara (SBA) for Seattle (SEA).</t>
        </is>
      </c>
      <c r="C6" t="inlineStr">
        <is>
          <t>Flight R006</t>
        </is>
      </c>
    </row>
    <row r="7">
      <c r="A7" t="inlineStr">
        <is>
          <t>2026-07-23 13:26 PT</t>
        </is>
      </c>
      <c r="B7" t="inlineStr">
        <is>
          <t>Alaska 2143 arrived Seattle (SEA).</t>
        </is>
      </c>
      <c r="C7" t="inlineStr">
        <is>
          <t>Flight R006</t>
        </is>
      </c>
    </row>
    <row r="8">
      <c r="A8" t="inlineStr">
        <is>
          <t>2026-07-23 13:30 PT</t>
        </is>
      </c>
      <c r="B8" t="inlineStr">
        <is>
          <t>Arrived at Seattle airport per field note.</t>
        </is>
      </c>
      <c r="C8" t="inlineStr">
        <is>
          <t>Travel/logistics</t>
        </is>
      </c>
    </row>
    <row r="9">
      <c r="A9" t="inlineStr">
        <is>
          <t>2026-07-23 14:33 PT</t>
        </is>
      </c>
      <c r="B9" t="inlineStr">
        <is>
          <t>Lunch at Hudson in SEA-TAC during outbound travel.</t>
        </is>
      </c>
      <c r="C9" t="inlineStr">
        <is>
          <t>Receipt R002</t>
        </is>
      </c>
    </row>
    <row r="10">
      <c r="A10" t="inlineStr">
        <is>
          <t>2026-07-23 approx. 14:45 PT</t>
        </is>
      </c>
      <c r="B10" t="inlineStr">
        <is>
          <t>Left Seattle airport after slow rental car pickup and drove to Barkley Heights.</t>
        </is>
      </c>
      <c r="C10" t="inlineStr">
        <is>
          <t>Travel/logistics</t>
        </is>
      </c>
    </row>
    <row r="11">
      <c r="A11" t="inlineStr">
        <is>
          <t>2026-07-23 approx. 18:05 PT</t>
        </is>
      </c>
      <c r="B11" t="inlineStr">
        <is>
          <t>Arrived at Barkley Heights job site; David Ebenal expected shortly.</t>
        </is>
      </c>
      <c r="C11" t="inlineStr">
        <is>
          <t>Site arrival</t>
        </is>
      </c>
    </row>
    <row r="12">
      <c r="A12" t="inlineStr">
        <is>
          <t>2026-07-23 approx. 18:15-18:30 PT</t>
        </is>
      </c>
      <c r="B12" t="inlineStr">
        <is>
          <t>Conversation with David Ebenal; limited project history provided per Dave notes.</t>
        </is>
      </c>
      <c r="C12" t="inlineStr">
        <is>
          <t>Field conversation</t>
        </is>
      </c>
    </row>
    <row r="13">
      <c r="A13" t="inlineStr">
        <is>
          <t>2026-07-23 approx. 18:37 PT</t>
        </is>
      </c>
      <c r="B13" t="inlineStr">
        <is>
          <t>Observed/measured original back-cut slope estimate at approximately 55 to 70 degrees.</t>
        </is>
      </c>
      <c r="C13" t="inlineStr">
        <is>
          <t>Field measurement M001</t>
        </is>
      </c>
    </row>
    <row r="14">
      <c r="A14" t="inlineStr">
        <is>
          <t>2026-07-23 approx. 18:43 PT</t>
        </is>
      </c>
      <c r="B14" t="inlineStr">
        <is>
          <t>Measured soldier pile verticality about 3 feet above concrete wall/wall beam area; piles leaned uphill approximately 0.6 to 1.4 degrees.</t>
        </is>
      </c>
      <c r="C14" t="inlineStr">
        <is>
          <t>Field measurement M002</t>
        </is>
      </c>
    </row>
    <row r="15">
      <c r="A15" t="inlineStr">
        <is>
          <t>2026-07-23 19:00 PT</t>
        </is>
      </c>
      <c r="B15" t="inlineStr">
        <is>
          <t>Left Barkley Heights job site.</t>
        </is>
      </c>
      <c r="C15" t="inlineStr">
        <is>
          <t>Site departure</t>
        </is>
      </c>
    </row>
    <row r="16">
      <c r="A16" t="inlineStr">
        <is>
          <t>2026-07-24 04:45 PT</t>
        </is>
      </c>
      <c r="B16" t="inlineStr">
        <is>
          <t>Left Bellingham hotel to drive back to Seattle airport.</t>
        </is>
      </c>
      <c r="C16" t="inlineStr">
        <is>
          <t>Travel/logistics</t>
        </is>
      </c>
    </row>
    <row r="17">
      <c r="A17" t="inlineStr">
        <is>
          <t>2026-07-24 06:36 PT</t>
        </is>
      </c>
      <c r="B17" t="inlineStr">
        <is>
          <t>Purchased return-travel gasoline in SeaTac.</t>
        </is>
      </c>
      <c r="C17" t="inlineStr">
        <is>
          <t>Receipt R003</t>
        </is>
      </c>
    </row>
    <row r="18">
      <c r="A18" t="inlineStr">
        <is>
          <t>2026-07-24 07:40 PT</t>
        </is>
      </c>
      <c r="B18" t="inlineStr">
        <is>
          <t>Purchased return-travel breakfast at SEATAC Airport.</t>
        </is>
      </c>
      <c r="C18" t="inlineStr">
        <is>
          <t>Receipt R004</t>
        </is>
      </c>
    </row>
    <row r="19">
      <c r="A19" t="inlineStr">
        <is>
          <t>2026-07-24 13:58 PT</t>
        </is>
      </c>
      <c r="B19" t="inlineStr">
        <is>
          <t>Paid Santa Barbara Airport parking after return.</t>
        </is>
      </c>
      <c r="C19" t="inlineStr">
        <is>
          <t>Receipt R005</t>
        </is>
      </c>
    </row>
    <row r="20">
      <c r="A20" t="inlineStr">
        <is>
          <t>2026-07-24 16:06 PT</t>
        </is>
      </c>
      <c r="B20" t="inlineStr">
        <is>
          <t>Alaska 400 departed Seattle (SEA) for Santa Barbara (SBA).</t>
        </is>
      </c>
      <c r="C20" t="inlineStr">
        <is>
          <t>Flight R006</t>
        </is>
      </c>
    </row>
    <row r="21">
      <c r="A21" t="inlineStr">
        <is>
          <t>2026-07-24 18:38 PT</t>
        </is>
      </c>
      <c r="B21" t="inlineStr">
        <is>
          <t>Alaska 400 arrived Santa Barbara (SBA).</t>
        </is>
      </c>
      <c r="C21" t="inlineStr">
        <is>
          <t>Flight R006</t>
        </is>
      </c>
    </row>
  </sheetData>
  <autoFilter ref="A1:C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2" width="18" customWidth="1"/>
    <col min="4" max="5" width="30" customWidth="1"/>
    <col min="12" max="12" width="50" customWidth="1"/>
  </cols>
  <sheetData>
    <row r="1">
      <c r="A1" s="1" t="inlineStr">
        <is>
          <t>Receipt ID</t>
        </is>
      </c>
      <c r="B1" s="1" t="inlineStr">
        <is>
          <t>Source File</t>
        </is>
      </c>
      <c r="C1" s="1" t="inlineStr">
        <is>
          <t>PDF Copy</t>
        </is>
      </c>
      <c r="D1" s="1" t="inlineStr">
        <is>
          <t>Amount</t>
        </is>
      </c>
      <c r="E1" s="1" t="inlineStr">
        <is>
          <t>Notes</t>
        </is>
      </c>
    </row>
    <row r="2">
      <c r="A2" t="inlineStr">
        <is>
          <t>R006</t>
        </is>
      </c>
      <c r="B2" t="inlineStr">
        <is>
          <t>/home/davesalter/.openclaw/media/inbound/Flight_Confirmation_and_Receipt---471d33c3-ca3c-4af9-9185-8dba40feb403.pdf</t>
        </is>
      </c>
      <c r="C2" t="inlineStr">
        <is>
          <t>receipt-pdfs/R006_Alaska_Airlines_$896.80.pdf</t>
        </is>
      </c>
      <c r="D2" s="2">
        <v>896.80</v>
      </c>
      <c r="E2" t="inlineStr">
        <is>
          <t>Round-trip airfare for David Salter; confirmation INBEDI; e-ticket 0272152879104; Alaska 2143 SBA-SEA and Alaska 400 SEA-SBA</t>
        </is>
      </c>
    </row>
    <row r="3">
      <c r="A3" t="inlineStr">
        <is>
          <t>R001</t>
        </is>
      </c>
      <c r="B3" t="inlineStr">
        <is>
          <t>/home/davesalter/.openclaw/media/inbound/Gmail_Tell_us_how_we_did_Receipt_for_Order_221_at_SBA_Airpor---63587057-dd85-4015-848a-83d1a705a002.pdf</t>
        </is>
      </c>
      <c r="C3" t="inlineStr">
        <is>
          <t>receipt-pdfs/R001_SBA_Airport_Restaurant_and_Coffee_Shop_$18.72.pdf</t>
        </is>
      </c>
      <c r="D3" s="2">
        <v>18.72</v>
      </c>
      <c r="E3" t="inlineStr">
        <is>
          <t>16 oz dirty chai, butter croissant, tax, tip; check/order #221</t>
        </is>
      </c>
    </row>
    <row r="4">
      <c r="A4" t="inlineStr">
        <is>
          <t>R002</t>
        </is>
      </c>
      <c r="B4" t="inlineStr">
        <is>
          <t>/home/davesalter/.openclaw/media/inbound/9c897fed-beda-40a6-bd3b-404acf8a4b1f.jpg</t>
        </is>
      </c>
      <c r="C4" t="inlineStr">
        <is>
          <t>receipt-pdfs/R002_Hudson_$23.23.pdf</t>
        </is>
      </c>
      <c r="D4" s="2">
        <v>23.23</v>
      </c>
      <c r="E4" t="inlineStr">
        <is>
          <t>ET FRUMAGE, Kit Kat bar, Barq's root beer, taxes; store 2366 transaction 116010</t>
        </is>
      </c>
    </row>
    <row r="5">
      <c r="A5" t="inlineStr">
        <is>
          <t>R003</t>
        </is>
      </c>
      <c r="B5" t="inlineStr">
        <is>
          <t>/home/davesalter/.openclaw/media/inbound/23c5ac22-3003-492b-a1f4-27e8e96cc20a.jpg</t>
        </is>
      </c>
      <c r="C5" t="inlineStr">
        <is>
          <t>receipt-pdfs/R003_GURANAND_$45.42.pdf</t>
        </is>
      </c>
      <c r="D5" s="2">
        <v>45.42</v>
      </c>
      <c r="E5" t="inlineStr">
        <is>
          <t>Regular gasoline, 7.327 gallons at $6.199/gallon; pump 2 invoice 063019</t>
        </is>
      </c>
    </row>
    <row r="6">
      <c r="A6" t="inlineStr">
        <is>
          <t>R004</t>
        </is>
      </c>
      <c r="B6" t="inlineStr">
        <is>
          <t>/home/davesalter/.openclaw/media/inbound/70c0d28b-855d-404e-a630-88cf9f2d7ae1.jpg</t>
        </is>
      </c>
      <c r="C6" t="inlineStr">
        <is>
          <t>receipt-pdfs/R004_Capitol_Hill_Foo_$15.24.pdf</t>
        </is>
      </c>
      <c r="D6" s="2">
        <v>15.24</v>
      </c>
      <c r="E6" t="inlineStr">
        <is>
          <t>Large latte with vanilla and blueberry muffin; check 839</t>
        </is>
      </c>
    </row>
    <row r="7">
      <c r="A7" t="inlineStr">
        <is>
          <t>R005</t>
        </is>
      </c>
      <c r="B7" t="inlineStr">
        <is>
          <t>/home/davesalter/.openclaw/media/inbound/e82f96e2-1914-498a-899e-74d41dc3efd3.jpg</t>
        </is>
      </c>
      <c r="C7" t="inlineStr">
        <is>
          <t>receipt-pdfs/R005_Santa_Barbara_Airport_$46.00.pdf</t>
        </is>
      </c>
      <c r="D7" s="2">
        <v>46.00</v>
      </c>
      <c r="E7" t="inlineStr">
        <is>
          <t>Airport parking; ticket 30472590; entry 2026-07-23 09:16 AM</t>
        </is>
      </c>
    </row>
    <row r="8">
      <c r="A8" t="inlineStr">
        <is>
          <t>R005 duplicate source</t>
        </is>
      </c>
      <c r="B8" t="inlineStr">
        <is>
          <t>/home/davesalter/.openclaw/media/inbound/e11695dd-2716-4701-9e91-505eae0b1778.jpg</t>
        </is>
      </c>
      <c r="C8" t="inlineStr">
        <is>
          <t>Not duplicated in expenses</t>
        </is>
      </c>
      <c r="D8" s="2">
        <v>0</v>
      </c>
      <c r="E8" t="inlineStr">
        <is>
          <t>Earlier duplicate media upload of the same Santa Barbara Airport parking receipt.</t>
        </is>
      </c>
    </row>
  </sheetData>
  <autoFilter ref="A1:E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Barkley Heights Expenses with 15 Percent Markup</dc:title>
  <dc:creator>Guy/OpenClaw</dc:creator>
  <cp:lastModifiedBy>Guy/OpenClaw</cp:lastModifiedBy>
  <dcterms:created xsi:type="dcterms:W3CDTF">2026-07-27T16:28:30Z</dcterms:created>
  <dcterms:modified xsi:type="dcterms:W3CDTF">2026-07-27T16:28:30Z</dcterms:modified>
</cp:coreProperties>
</file>