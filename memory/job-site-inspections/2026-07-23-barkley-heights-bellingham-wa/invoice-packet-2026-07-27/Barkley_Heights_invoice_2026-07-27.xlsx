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>
    <definedName name="_xlnm.Print_Titles" localSheetId="0">'Invoice'!$1:$22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F4E78"/>
    </font>
    <font>
      <b val="1"/>
      <color rgb="00FFFFFF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top style="thin">
        <color rgb="00B7B7B7"/>
      </top>
      <bottom style="thin">
        <color rgb="00B7B7B7"/>
      </bottom>
    </border>
    <border>
      <top style="medium">
        <color rgb="001F4E78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4" borderId="1" pivotButton="0" quotePrefix="0" xfId="0"/>
    <xf numFmtId="165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4" fontId="5" fillId="2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58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1" t="inlineStr">
        <is>
          <t>INVOICE</t>
        </is>
      </c>
    </row>
    <row r="2"/>
    <row r="3">
      <c r="A3" s="2" t="inlineStr">
        <is>
          <t>Invoice No.</t>
        </is>
      </c>
      <c r="B3" s="3" t="inlineStr">
        <is>
          <t>BH-2026-07-27-01</t>
        </is>
      </c>
    </row>
    <row r="4">
      <c r="A4" s="2" t="inlineStr">
        <is>
          <t>Invoice Date</t>
        </is>
      </c>
      <c r="B4" s="3" t="inlineStr">
        <is>
          <t>2026-07-27</t>
        </is>
      </c>
    </row>
    <row r="5">
      <c r="A5" s="2" t="inlineStr">
        <is>
          <t>Terms</t>
        </is>
      </c>
      <c r="B5" s="3" t="inlineStr">
        <is>
          <t>Due on receipt; delinquent if unpaid more than 60 days after invoice date.</t>
        </is>
      </c>
    </row>
    <row r="6"/>
    <row r="7">
      <c r="A7" s="2" t="inlineStr">
        <is>
          <t>From</t>
        </is>
      </c>
      <c r="B7" s="3" t="inlineStr">
        <is>
          <t>DRS Engineering Inc.</t>
        </is>
      </c>
      <c r="D7" s="2" t="inlineStr">
        <is>
          <t>Bill To</t>
        </is>
      </c>
      <c r="E7" s="3" t="inlineStr">
        <is>
          <t>Erin R. Jacoby</t>
        </is>
      </c>
    </row>
    <row r="8">
      <c r="B8" s="3" t="inlineStr">
        <is>
          <t>David R. Salter BSc PhD PE, President</t>
        </is>
      </c>
      <c r="E8" s="3" t="inlineStr">
        <is>
          <t>Davis Rothwell</t>
        </is>
      </c>
    </row>
    <row r="9">
      <c r="E9" s="3" t="inlineStr">
        <is>
          <t>Earle &amp; Xochihua</t>
        </is>
      </c>
    </row>
    <row r="10">
      <c r="A10" s="2" t="inlineStr">
        <is>
          <t>Matter</t>
        </is>
      </c>
      <c r="B10" s="3" t="inlineStr">
        <is>
          <t>Barkley Heights II, LLC v. Bradley Engineering - Whatcom County Case No. 26-2-01269-37</t>
        </is>
      </c>
    </row>
    <row r="11">
      <c r="A11" s="2" t="inlineStr">
        <is>
          <t>Scope</t>
        </is>
      </c>
      <c r="B11" s="3" t="inlineStr">
        <is>
          <t>Review of failure mechanism of a soldier pile wall</t>
        </is>
      </c>
    </row>
    <row r="12"/>
    <row r="13"/>
    <row r="14">
      <c r="A14" s="4" t="inlineStr">
        <is>
          <t>Professional Fees</t>
        </is>
      </c>
    </row>
    <row r="15">
      <c r="A15" s="5" t="inlineStr">
        <is>
          <t>Date</t>
        </is>
      </c>
      <c r="B15" s="5" t="inlineStr">
        <is>
          <t>Description</t>
        </is>
      </c>
      <c r="C15" s="5" t="inlineStr">
        <is>
          <t>Hours</t>
        </is>
      </c>
      <c r="D15" s="5" t="inlineStr">
        <is>
          <t>Rate</t>
        </is>
      </c>
      <c r="E15" s="5" t="inlineStr">
        <is>
          <t>Amount</t>
        </is>
      </c>
    </row>
    <row r="16" ht="48" customHeight="1">
      <c r="A16" s="6" t="inlineStr">
        <is>
          <t>2026-07-23</t>
        </is>
      </c>
      <c r="B16" s="6" t="inlineStr">
        <is>
          <t>Outbound travel and Barkley Heights site inspection, including travel from home/SBA to SEA/Bellingham, site visit, field observations, conversation, and measurements.</t>
        </is>
      </c>
      <c r="C16" s="7" t="n">
        <v>10.5</v>
      </c>
      <c r="D16" s="8" t="n">
        <v>375</v>
      </c>
      <c r="E16" s="8">
        <f>C16*D16</f>
        <v/>
      </c>
      <c r="F16" s="9" t="n"/>
      <c r="G16" s="9" t="n"/>
    </row>
    <row r="17" ht="48" customHeight="1">
      <c r="A17" s="6" t="inlineStr">
        <is>
          <t>2026-07-24</t>
        </is>
      </c>
      <c r="B17" s="6" t="inlineStr">
        <is>
          <t>Return travel from Bellingham/SEA to Santa Barbara. Time from 04:45 departure from hotel to 18:38 flight arrival, rounded to nearest half hour.</t>
        </is>
      </c>
      <c r="C17" s="7" t="n">
        <v>14</v>
      </c>
      <c r="D17" s="8" t="n">
        <v>375</v>
      </c>
      <c r="E17" s="8">
        <f>C17*D17</f>
        <v/>
      </c>
      <c r="F17" s="9" t="n"/>
      <c r="G17" s="9" t="n"/>
    </row>
    <row r="18">
      <c r="A18" s="10" t="inlineStr">
        <is>
          <t>Total Professional Fees</t>
        </is>
      </c>
      <c r="B18" s="11" t="n"/>
      <c r="C18" s="12">
        <f>SUM(C16:C17)</f>
        <v/>
      </c>
      <c r="D18" s="11" t="n"/>
      <c r="E18" s="13">
        <f>SUM(E16:E17)</f>
        <v/>
      </c>
      <c r="F18" s="9" t="n"/>
      <c r="G18" s="9" t="n"/>
    </row>
    <row r="19">
      <c r="E19" s="9" t="n"/>
      <c r="F19" s="9" t="n"/>
      <c r="G19" s="9" t="n"/>
    </row>
    <row r="20">
      <c r="E20" s="9" t="n"/>
      <c r="F20" s="9" t="n"/>
      <c r="G20" s="9" t="n"/>
    </row>
    <row r="21">
      <c r="A21" s="4" t="inlineStr">
        <is>
          <t>Reimbursable Expenses</t>
        </is>
      </c>
      <c r="E21" s="9" t="n"/>
      <c r="F21" s="9" t="n"/>
      <c r="G21" s="9" t="n"/>
    </row>
    <row r="22">
      <c r="A22" s="5" t="inlineStr">
        <is>
          <t>Receipt</t>
        </is>
      </c>
      <c r="B22" s="5" t="inlineStr">
        <is>
          <t>Date</t>
        </is>
      </c>
      <c r="C22" s="5" t="inlineStr">
        <is>
          <t>Category</t>
        </is>
      </c>
      <c r="D22" s="5" t="inlineStr">
        <is>
          <t>Description</t>
        </is>
      </c>
      <c r="E22" s="14" t="inlineStr">
        <is>
          <t>Actual Cost</t>
        </is>
      </c>
      <c r="F22" s="14" t="inlineStr">
        <is>
          <t>15% Handling</t>
        </is>
      </c>
      <c r="G22" s="14" t="inlineStr">
        <is>
          <t>Amount</t>
        </is>
      </c>
    </row>
    <row r="23">
      <c r="E23" s="9" t="n"/>
      <c r="F23" s="9" t="n"/>
      <c r="G23" s="9" t="n"/>
    </row>
    <row r="24" ht="42" customHeight="1">
      <c r="A24" s="6" t="inlineStr">
        <is>
          <t>R006</t>
        </is>
      </c>
      <c r="B24" s="6" t="inlineStr">
        <is>
          <t>2026-07-22</t>
        </is>
      </c>
      <c r="C24" s="6" t="inlineStr">
        <is>
          <t>Airfare</t>
        </is>
      </c>
      <c r="D24" s="6" t="inlineStr">
        <is>
          <t>Round-trip airfare for David Salter; confirmation INBEDI; e-ticket 0272152879104; Alaska 2143 SBA-SEA and Alaska 400 SEA-SBA</t>
        </is>
      </c>
      <c r="E24" s="8" t="n">
        <v>896.8</v>
      </c>
      <c r="F24" s="8" t="n">
        <v>134.52</v>
      </c>
      <c r="G24" s="8">
        <f>E24+F24</f>
        <v/>
      </c>
    </row>
    <row r="25" ht="42" customHeight="1">
      <c r="A25" s="6" t="inlineStr">
        <is>
          <t>R001</t>
        </is>
      </c>
      <c r="B25" s="6" t="inlineStr">
        <is>
          <t>2026-07-23</t>
        </is>
      </c>
      <c r="C25" s="6" t="inlineStr">
        <is>
          <t>Meal - outbound breakfast</t>
        </is>
      </c>
      <c r="D25" s="6" t="inlineStr">
        <is>
          <t>16 oz dirty chai, butter croissant, tax, tip; check/order #221</t>
        </is>
      </c>
      <c r="E25" s="8" t="n">
        <v>18.72</v>
      </c>
      <c r="F25" s="8" t="n">
        <v>2.81</v>
      </c>
      <c r="G25" s="8">
        <f>E25+F25</f>
        <v/>
      </c>
    </row>
    <row r="26" ht="42" customHeight="1">
      <c r="A26" s="6" t="inlineStr">
        <is>
          <t>R002</t>
        </is>
      </c>
      <c r="B26" s="6" t="inlineStr">
        <is>
          <t>2026-07-23</t>
        </is>
      </c>
      <c r="C26" s="6" t="inlineStr">
        <is>
          <t>Meal - outbound lunch</t>
        </is>
      </c>
      <c r="D26" s="6" t="inlineStr">
        <is>
          <t>ET FRUMAGE, Kit Kat bar, Barq's root beer, taxes; store 2366 transaction 116010</t>
        </is>
      </c>
      <c r="E26" s="8" t="n">
        <v>23.23</v>
      </c>
      <c r="F26" s="8" t="n">
        <v>3.48</v>
      </c>
      <c r="G26" s="8">
        <f>E26+F26</f>
        <v/>
      </c>
    </row>
    <row r="27" ht="42" customHeight="1">
      <c r="A27" s="6" t="inlineStr">
        <is>
          <t>R008</t>
        </is>
      </c>
      <c r="B27" s="6" t="inlineStr">
        <is>
          <t>2026-07-23</t>
        </is>
      </c>
      <c r="C27" s="6" t="inlineStr">
        <is>
          <t>Car rental</t>
        </is>
      </c>
      <c r="D27" s="6" t="inlineStr">
        <is>
          <t>Mazda CX-50 or similar; confirmation 21886108US6; pickup 2026-07-23 14:30, drop-off 2026-07-24 14:30; estimated total shown on document</t>
        </is>
      </c>
      <c r="E27" s="8" t="n">
        <v>307.77</v>
      </c>
      <c r="F27" s="8" t="n">
        <v>46.17</v>
      </c>
      <c r="G27" s="8">
        <f>E27+F27</f>
        <v/>
      </c>
    </row>
    <row r="28" ht="42" customHeight="1">
      <c r="A28" s="6" t="inlineStr">
        <is>
          <t>R007</t>
        </is>
      </c>
      <c r="B28" s="6" t="inlineStr">
        <is>
          <t>2026-07-23</t>
        </is>
      </c>
      <c r="C28" s="6" t="inlineStr">
        <is>
          <t>Lodging</t>
        </is>
      </c>
      <c r="D28" s="6" t="inlineStr">
        <is>
          <t>One night, Standard King Room, Booking.com confirmation 5674580542; total paid includes travel protection</t>
        </is>
      </c>
      <c r="E28" s="8" t="n">
        <v>209.3</v>
      </c>
      <c r="F28" s="8" t="n">
        <v>31.4</v>
      </c>
      <c r="G28" s="8">
        <f>E28+F28</f>
        <v/>
      </c>
    </row>
    <row r="29" ht="42" customHeight="1">
      <c r="A29" s="6" t="inlineStr">
        <is>
          <t>R003</t>
        </is>
      </c>
      <c r="B29" s="6" t="inlineStr">
        <is>
          <t>2026-07-24</t>
        </is>
      </c>
      <c r="C29" s="6" t="inlineStr">
        <is>
          <t>Fuel</t>
        </is>
      </c>
      <c r="D29" s="6" t="inlineStr">
        <is>
          <t>Regular gasoline, 7.327 gallons at $6.199/gallon; pump 2 invoice 063019</t>
        </is>
      </c>
      <c r="E29" s="8" t="n">
        <v>45.42</v>
      </c>
      <c r="F29" s="8" t="n">
        <v>6.81</v>
      </c>
      <c r="G29" s="8">
        <f>E29+F29</f>
        <v/>
      </c>
    </row>
    <row r="30" ht="42" customHeight="1">
      <c r="A30" s="6" t="inlineStr">
        <is>
          <t>R004</t>
        </is>
      </c>
      <c r="B30" s="6" t="inlineStr">
        <is>
          <t>2026-07-24</t>
        </is>
      </c>
      <c r="C30" s="6" t="inlineStr">
        <is>
          <t>Meal - return breakfast</t>
        </is>
      </c>
      <c r="D30" s="6" t="inlineStr">
        <is>
          <t>Large latte with vanilla and blueberry muffin; check 839</t>
        </is>
      </c>
      <c r="E30" s="8" t="n">
        <v>15.24</v>
      </c>
      <c r="F30" s="8" t="n">
        <v>2.29</v>
      </c>
      <c r="G30" s="8">
        <f>E30+F30</f>
        <v/>
      </c>
    </row>
    <row r="31" ht="42" customHeight="1">
      <c r="A31" s="6" t="inlineStr">
        <is>
          <t>R005</t>
        </is>
      </c>
      <c r="B31" s="6" t="inlineStr">
        <is>
          <t>2026-07-24</t>
        </is>
      </c>
      <c r="C31" s="6" t="inlineStr">
        <is>
          <t>Parking</t>
        </is>
      </c>
      <c r="D31" s="6" t="inlineStr">
        <is>
          <t>Airport parking; ticket 30472590; entry 2026-07-23 09:16 AM</t>
        </is>
      </c>
      <c r="E31" s="8" t="n">
        <v>46</v>
      </c>
      <c r="F31" s="8" t="n">
        <v>6.9</v>
      </c>
      <c r="G31" s="8">
        <f>E31+F31</f>
        <v/>
      </c>
    </row>
    <row r="32">
      <c r="A32" s="10" t="inlineStr">
        <is>
          <t>Total Expenses</t>
        </is>
      </c>
      <c r="B32" s="11" t="n"/>
      <c r="C32" s="11" t="n"/>
      <c r="D32" s="11" t="n"/>
      <c r="E32" s="13">
        <f>SUM(E24:E31)</f>
        <v/>
      </c>
      <c r="F32" s="13">
        <f>SUM(F24:F31)</f>
        <v/>
      </c>
      <c r="G32" s="13">
        <f>SUM(G24:G31)</f>
        <v/>
      </c>
    </row>
    <row r="33">
      <c r="E33" s="9" t="n"/>
      <c r="F33" s="9" t="n"/>
      <c r="G33" s="9" t="n"/>
    </row>
    <row r="34">
      <c r="E34" s="9" t="n"/>
      <c r="F34" s="9" t="n"/>
      <c r="G34" s="9" t="n"/>
    </row>
    <row r="35">
      <c r="E35" s="9" t="n"/>
      <c r="F35" s="15" t="inlineStr">
        <is>
          <t>Professional Fees</t>
        </is>
      </c>
      <c r="G35" s="15">
        <f>E18</f>
        <v/>
      </c>
    </row>
    <row r="36">
      <c r="E36" s="9" t="n"/>
      <c r="F36" s="15" t="inlineStr">
        <is>
          <t>Reimbursable Expenses</t>
        </is>
      </c>
      <c r="G36" s="15">
        <f>G32</f>
        <v/>
      </c>
    </row>
    <row r="37">
      <c r="E37" s="9" t="n"/>
      <c r="F37" s="16" t="inlineStr">
        <is>
          <t>TOTAL DUE</t>
        </is>
      </c>
      <c r="G37" s="16">
        <f>G35+G36</f>
        <v/>
      </c>
    </row>
    <row r="38">
      <c r="E38" s="9" t="n"/>
      <c r="F38" s="9" t="n"/>
      <c r="G38" s="9" t="n"/>
    </row>
    <row r="39">
      <c r="E39" s="9" t="n"/>
      <c r="F39" s="9" t="n"/>
      <c r="G39" s="9" t="n"/>
    </row>
    <row r="40">
      <c r="A40" s="2" t="inlineStr">
        <is>
          <t>Notes</t>
        </is>
      </c>
      <c r="E40" s="9" t="n"/>
      <c r="F40" s="9" t="n"/>
      <c r="G40" s="9" t="n"/>
    </row>
    <row r="41">
      <c r="A41" s="3" t="inlineStr">
        <is>
          <t>- Invoice prepared from the 2026-07-21 engagement letter and Barkley Heights travel diary/expense backup.</t>
        </is>
      </c>
      <c r="E41" s="9" t="n"/>
      <c r="F41" s="9" t="n"/>
      <c r="G41" s="9" t="n"/>
    </row>
    <row r="42">
      <c r="A42" s="3" t="inlineStr">
        <is>
          <t>- Senior Principal Engineer / President rate per fee schedule: $375/hour.</t>
        </is>
      </c>
      <c r="E42" s="9" t="n"/>
      <c r="F42" s="9" t="n"/>
      <c r="G42" s="9" t="n"/>
    </row>
    <row r="43">
      <c r="A43" s="3" t="inlineStr">
        <is>
          <t>- Necessary travel time is billed per the engagement letter. Time entries are derived from the trip itinerary and rounded to the nearest half hour for review.</t>
        </is>
      </c>
      <c r="E43" s="9" t="n"/>
      <c r="F43" s="9" t="n"/>
      <c r="G43" s="9" t="n"/>
    </row>
    <row r="44">
      <c r="A44" s="3" t="inlineStr">
        <is>
          <t>- R008 car-rental document states estimated total; confirm against final rental close-out receipt if required.</t>
        </is>
      </c>
      <c r="E44" s="9" t="n"/>
      <c r="F44" s="9" t="n"/>
      <c r="G44" s="9" t="n"/>
    </row>
    <row r="45">
      <c r="A45" s="3" t="inlineStr">
        <is>
          <t>- Receipt backup is included in the supporting Barkley Heights billing packet.</t>
        </is>
      </c>
      <c r="E45" s="9" t="n"/>
      <c r="F45" s="9" t="n"/>
      <c r="G45" s="9" t="n"/>
    </row>
  </sheetData>
  <mergeCells count="11">
    <mergeCell ref="A14:G14"/>
    <mergeCell ref="A44:G44"/>
    <mergeCell ref="B10:G10"/>
    <mergeCell ref="A1:G1"/>
    <mergeCell ref="B5:G5"/>
    <mergeCell ref="A45:G45"/>
    <mergeCell ref="A21:G21"/>
    <mergeCell ref="A42:G42"/>
    <mergeCell ref="A43:G43"/>
    <mergeCell ref="A41:G41"/>
    <mergeCell ref="B11:G1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2026-07-27T23:02:17Z</dcterms:created>
  <dcterms:modified xsi:type="dcterms:W3CDTF">2026-07-27T23:02:17Z</dcterms:modified>
</cp:coreProperties>
</file>