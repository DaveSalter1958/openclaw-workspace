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es" sheetId="2" state="visible" r:id="rId2"/>
    <sheet name="Expenses" sheetId="3" state="visible" r:id="rId3"/>
  </sheets>
  <definedNames>
    <definedName name="_xlnm._FilterDatabase" localSheetId="0" hidden="1">'Summary'!$A$1:$B$6</definedName>
    <definedName name="_xlnm._FilterDatabase" localSheetId="1" hidden="1">'Fees'!$A$1:$E$4</definedName>
    <definedName name="_xlnm._FilterDatabase" localSheetId="2" hidden="1">'Expenses'!$A$1:$G$10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Invoice No.</t>
        </is>
      </c>
      <c r="B1" s="1" t="inlineStr">
        <is>
          <t>BH-2026-07-27-01</t>
        </is>
      </c>
    </row>
    <row r="2">
      <c r="A2" s="2" t="inlineStr">
        <is>
          <t>Invoice Date</t>
        </is>
      </c>
      <c r="B2" s="2" t="inlineStr">
        <is>
          <t>2026-07-27</t>
        </is>
      </c>
    </row>
    <row r="3">
      <c r="A3" s="2" t="inlineStr">
        <is>
          <t>Professional Fees</t>
        </is>
      </c>
      <c r="B3" s="3" t="n">
        <v>9187.5</v>
      </c>
    </row>
    <row r="4">
      <c r="A4" s="2" t="inlineStr">
        <is>
          <t>Expenses incl. Handling</t>
        </is>
      </c>
      <c r="B4" s="3" t="n">
        <v>1796.86</v>
      </c>
    </row>
    <row r="5">
      <c r="A5" s="2" t="inlineStr">
        <is>
          <t>Total Due</t>
        </is>
      </c>
      <c r="B5" s="3">
        <f>B3+B4</f>
        <v/>
      </c>
    </row>
    <row r="6">
      <c r="A6" s="2" t="inlineStr">
        <is>
          <t>Note</t>
        </is>
      </c>
      <c r="B6" s="2" t="inlineStr">
        <is>
          <t>R008 car-rental document states estimated total.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5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Hours</t>
        </is>
      </c>
      <c r="D1" s="1" t="inlineStr">
        <is>
          <t>Rate</t>
        </is>
      </c>
      <c r="E1" s="1" t="inlineStr">
        <is>
          <t>Amount</t>
        </is>
      </c>
    </row>
    <row r="2">
      <c r="A2" s="2" t="inlineStr">
        <is>
          <t>2026-07-23</t>
        </is>
      </c>
      <c r="B2" s="2" t="inlineStr">
        <is>
          <t>Outbound travel and Barkley Heights site inspection, including travel from home/SBA to SEA/Bellingham, site visit, field observations, conversation, and measurements.</t>
        </is>
      </c>
      <c r="C2" s="2" t="n">
        <v>10.5</v>
      </c>
      <c r="D2" s="3" t="n">
        <v>375</v>
      </c>
      <c r="E2" s="3">
        <f>C2*D2</f>
        <v/>
      </c>
    </row>
    <row r="3">
      <c r="A3" s="2" t="inlineStr">
        <is>
          <t>2026-07-24</t>
        </is>
      </c>
      <c r="B3" s="2" t="inlineStr">
        <is>
          <t>Return travel from Bellingham/SEA to Santa Barbara. Time from 04:45 departure from hotel to 18:38 flight arrival, rounded to nearest half hour.</t>
        </is>
      </c>
      <c r="C3" s="2" t="n">
        <v>14</v>
      </c>
      <c r="D3" s="3" t="n">
        <v>375</v>
      </c>
      <c r="E3" s="3">
        <f>C3*D3</f>
        <v/>
      </c>
    </row>
    <row r="4">
      <c r="A4" s="4" t="inlineStr">
        <is>
          <t>Total Fees</t>
        </is>
      </c>
      <c r="B4" s="4" t="inlineStr"/>
      <c r="C4" s="4">
        <f>SUM(C2:C3)</f>
        <v/>
      </c>
      <c r="D4" s="5" t="inlineStr"/>
      <c r="E4" s="5">
        <f>SUM(E2:E3)</f>
        <v/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8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Receipt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Actual</t>
        </is>
      </c>
      <c r="F1" s="1" t="inlineStr">
        <is>
          <t>15% Handling</t>
        </is>
      </c>
      <c r="G1" s="1" t="inlineStr">
        <is>
          <t>Amount</t>
        </is>
      </c>
    </row>
    <row r="2">
      <c r="A2" s="2" t="inlineStr">
        <is>
          <t>R006</t>
        </is>
      </c>
      <c r="B2" s="2" t="inlineStr">
        <is>
          <t>2026-07-22</t>
        </is>
      </c>
      <c r="C2" s="2" t="inlineStr">
        <is>
          <t>Airfare</t>
        </is>
      </c>
      <c r="D2" s="2" t="inlineStr">
        <is>
          <t>Round-trip airfare for David Salter; confirmation INBEDI; e-ticket 0272152879104; Alaska 2143 SBA-SEA and Alaska 400 SEA-SBA</t>
        </is>
      </c>
      <c r="E2" s="3" t="n">
        <v>896.8</v>
      </c>
      <c r="F2" s="3">
        <f>ROUND(E2*15%,2)</f>
        <v/>
      </c>
      <c r="G2" s="3">
        <f>E2+F2</f>
        <v/>
      </c>
    </row>
    <row r="3">
      <c r="A3" s="2" t="inlineStr">
        <is>
          <t>R001</t>
        </is>
      </c>
      <c r="B3" s="2" t="inlineStr">
        <is>
          <t>2026-07-23</t>
        </is>
      </c>
      <c r="C3" s="2" t="inlineStr">
        <is>
          <t>Meal - outbound breakfast</t>
        </is>
      </c>
      <c r="D3" s="2" t="inlineStr">
        <is>
          <t>16 oz dirty chai, butter croissant, tax, tip; check/order #221</t>
        </is>
      </c>
      <c r="E3" s="3" t="n">
        <v>18.72</v>
      </c>
      <c r="F3" s="3">
        <f>ROUND(E3*15%,2)</f>
        <v/>
      </c>
      <c r="G3" s="3">
        <f>E3+F3</f>
        <v/>
      </c>
    </row>
    <row r="4">
      <c r="A4" s="2" t="inlineStr">
        <is>
          <t>R002</t>
        </is>
      </c>
      <c r="B4" s="2" t="inlineStr">
        <is>
          <t>2026-07-23</t>
        </is>
      </c>
      <c r="C4" s="2" t="inlineStr">
        <is>
          <t>Meal - outbound lunch</t>
        </is>
      </c>
      <c r="D4" s="2" t="inlineStr">
        <is>
          <t>ET FRUMAGE, Kit Kat bar, Barq's root beer, taxes; store 2366 transaction 116010</t>
        </is>
      </c>
      <c r="E4" s="3" t="n">
        <v>23.23</v>
      </c>
      <c r="F4" s="3">
        <f>ROUND(E4*15%,2)</f>
        <v/>
      </c>
      <c r="G4" s="3">
        <f>E4+F4</f>
        <v/>
      </c>
    </row>
    <row r="5">
      <c r="A5" s="2" t="inlineStr">
        <is>
          <t>R008</t>
        </is>
      </c>
      <c r="B5" s="2" t="inlineStr">
        <is>
          <t>2026-07-23</t>
        </is>
      </c>
      <c r="C5" s="2" t="inlineStr">
        <is>
          <t>Car rental</t>
        </is>
      </c>
      <c r="D5" s="2" t="inlineStr">
        <is>
          <t>Mazda CX-50 or similar; confirmation 21886108US6; pickup 2026-07-23 14:30, drop-off 2026-07-24 14:30; estimated total shown on document</t>
        </is>
      </c>
      <c r="E5" s="3" t="n">
        <v>307.77</v>
      </c>
      <c r="F5" s="3">
        <f>ROUND(E5*15%,2)</f>
        <v/>
      </c>
      <c r="G5" s="3">
        <f>E5+F5</f>
        <v/>
      </c>
    </row>
    <row r="6">
      <c r="A6" s="2" t="inlineStr">
        <is>
          <t>R007</t>
        </is>
      </c>
      <c r="B6" s="2" t="inlineStr">
        <is>
          <t>2026-07-23</t>
        </is>
      </c>
      <c r="C6" s="2" t="inlineStr">
        <is>
          <t>Lodging</t>
        </is>
      </c>
      <c r="D6" s="2" t="inlineStr">
        <is>
          <t>One night, Standard King Room, Booking.com confirmation 5674580542; total paid includes travel protection</t>
        </is>
      </c>
      <c r="E6" s="3" t="n">
        <v>209.3</v>
      </c>
      <c r="F6" s="3">
        <f>ROUND(E6*15%,2)</f>
        <v/>
      </c>
      <c r="G6" s="3">
        <f>E6+F6</f>
        <v/>
      </c>
    </row>
    <row r="7">
      <c r="A7" s="2" t="inlineStr">
        <is>
          <t>R003</t>
        </is>
      </c>
      <c r="B7" s="2" t="inlineStr">
        <is>
          <t>2026-07-24</t>
        </is>
      </c>
      <c r="C7" s="2" t="inlineStr">
        <is>
          <t>Fuel</t>
        </is>
      </c>
      <c r="D7" s="2" t="inlineStr">
        <is>
          <t>Regular gasoline, 7.327 gallons at $6.199/gallon; pump 2 invoice 063019</t>
        </is>
      </c>
      <c r="E7" s="3" t="n">
        <v>45.42</v>
      </c>
      <c r="F7" s="3">
        <f>ROUND(E7*15%,2)</f>
        <v/>
      </c>
      <c r="G7" s="3">
        <f>E7+F7</f>
        <v/>
      </c>
    </row>
    <row r="8">
      <c r="A8" s="2" t="inlineStr">
        <is>
          <t>R004</t>
        </is>
      </c>
      <c r="B8" s="2" t="inlineStr">
        <is>
          <t>2026-07-24</t>
        </is>
      </c>
      <c r="C8" s="2" t="inlineStr">
        <is>
          <t>Meal - return breakfast</t>
        </is>
      </c>
      <c r="D8" s="2" t="inlineStr">
        <is>
          <t>Large latte with vanilla and blueberry muffin; check 839</t>
        </is>
      </c>
      <c r="E8" s="3" t="n">
        <v>15.24</v>
      </c>
      <c r="F8" s="3">
        <f>ROUND(E8*15%,2)</f>
        <v/>
      </c>
      <c r="G8" s="3">
        <f>E8+F8</f>
        <v/>
      </c>
    </row>
    <row r="9">
      <c r="A9" s="2" t="inlineStr">
        <is>
          <t>R005</t>
        </is>
      </c>
      <c r="B9" s="2" t="inlineStr">
        <is>
          <t>2026-07-24</t>
        </is>
      </c>
      <c r="C9" s="2" t="inlineStr">
        <is>
          <t>Parking</t>
        </is>
      </c>
      <c r="D9" s="2" t="inlineStr">
        <is>
          <t>Airport parking; ticket 30472590; entry 2026-07-23 09:16 AM</t>
        </is>
      </c>
      <c r="E9" s="3" t="n">
        <v>46</v>
      </c>
      <c r="F9" s="3">
        <f>ROUND(E9*15%,2)</f>
        <v/>
      </c>
      <c r="G9" s="3">
        <f>E9+F9</f>
        <v/>
      </c>
    </row>
    <row r="10">
      <c r="A10" s="4" t="inlineStr">
        <is>
          <t>Total Expenses</t>
        </is>
      </c>
      <c r="B10" s="4" t="inlineStr"/>
      <c r="C10" s="4" t="inlineStr"/>
      <c r="D10" s="4" t="inlineStr"/>
      <c r="E10" s="5">
        <f>SUM(E2:E9)</f>
        <v/>
      </c>
      <c r="F10" s="5">
        <f>SUM(F2:F9)</f>
        <v/>
      </c>
      <c r="G10" s="5">
        <f>SUM(G2:G9)</f>
        <v/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2026-07-27T22:50:06Z</dcterms:created>
  <dcterms:modified xsi:type="dcterms:W3CDTF">2026-07-27T22:50:06Z</dcterms:modified>
</cp:coreProperties>
</file>