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Itinerary" sheetId="2" state="visible" r:id="rId2"/>
    <sheet name="Receipt Index" sheetId="3" state="visible" r:id="rId3"/>
  </sheets>
  <definedNames>
    <definedName name="_xlnm._FilterDatabase" localSheetId="0" hidden="1">'Expenses'!$A$1:$L$10</definedName>
    <definedName name="_xlnm._FilterDatabase" localSheetId="1" hidden="1">'Itinerary'!$A$1:$C$20</definedName>
    <definedName name="_xlnm._FilterDatabase" localSheetId="2" hidden="1">'Receipt Index'!$A$1:$E$9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30" customWidth="1" min="4" max="4"/>
    <col width="34" customWidth="1" min="5" max="5"/>
    <col width="22" customWidth="1" min="6" max="6"/>
    <col width="12" customWidth="1" min="7" max="7"/>
    <col width="13" customWidth="1" min="8" max="8"/>
    <col width="14" customWidth="1" min="9" max="9"/>
    <col width="24" customWidth="1" min="10" max="10"/>
    <col width="42" customWidth="1" min="11" max="11"/>
    <col width="58" customWidth="1" min="12" max="12"/>
  </cols>
  <sheetData>
    <row r="1">
      <c r="A1" s="1" t="inlineStr">
        <is>
          <t>Receipt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Vendor</t>
        </is>
      </c>
      <c r="E1" s="1" t="inlineStr">
        <is>
          <t>Location</t>
        </is>
      </c>
      <c r="F1" s="1" t="inlineStr">
        <is>
          <t>Category</t>
        </is>
      </c>
      <c r="G1" s="1" t="inlineStr">
        <is>
          <t>Amount</t>
        </is>
      </c>
      <c r="H1" s="1" t="inlineStr">
        <is>
          <t>15% Markup</t>
        </is>
      </c>
      <c r="I1" s="1" t="inlineStr">
        <is>
          <t>Billable Total</t>
        </is>
      </c>
      <c r="J1" s="1" t="inlineStr">
        <is>
          <t>Payment</t>
        </is>
      </c>
      <c r="K1" s="1" t="inlineStr">
        <is>
          <t>Receipt PDF</t>
        </is>
      </c>
      <c r="L1" s="1" t="inlineStr">
        <is>
          <t>Description</t>
        </is>
      </c>
    </row>
    <row r="2">
      <c r="A2" s="2" t="inlineStr">
        <is>
          <t>R006</t>
        </is>
      </c>
      <c r="B2" s="2" t="inlineStr">
        <is>
          <t>2026-07-22</t>
        </is>
      </c>
      <c r="C2" s="2" t="inlineStr">
        <is>
          <t>14:09</t>
        </is>
      </c>
      <c r="D2" s="2" t="inlineStr">
        <is>
          <t>Alaska Airlines</t>
        </is>
      </c>
      <c r="E2" s="2" t="inlineStr">
        <is>
          <t>SBA-SEA / SEA-SBA</t>
        </is>
      </c>
      <c r="F2" s="2" t="inlineStr">
        <is>
          <t>Airfare</t>
        </is>
      </c>
      <c r="G2" s="3" t="n">
        <v>896.8</v>
      </c>
      <c r="H2" s="3">
        <f>ROUND(G2*15%,2)</f>
        <v/>
      </c>
      <c r="I2" s="3">
        <f>G2+H2</f>
        <v/>
      </c>
      <c r="J2" s="2" t="inlineStr">
        <is>
          <t>Credit card ending 3514</t>
        </is>
      </c>
      <c r="K2" s="2" t="inlineStr">
        <is>
          <t>receipt-pdfs/R006_Alaska_Airlines_896-80.pdf</t>
        </is>
      </c>
      <c r="L2" s="2" t="inlineStr">
        <is>
          <t>Round-trip airfare for David Salter; confirmation INBEDI; e-ticket 0272152879104; Alaska 2143 SBA-SEA and Alaska 400 SEA-SBA</t>
        </is>
      </c>
    </row>
    <row r="3">
      <c r="A3" s="2" t="inlineStr">
        <is>
          <t>R001</t>
        </is>
      </c>
      <c r="B3" s="2" t="inlineStr">
        <is>
          <t>2026-07-23</t>
        </is>
      </c>
      <c r="C3" s="2" t="inlineStr">
        <is>
          <t>09:42</t>
        </is>
      </c>
      <c r="D3" s="2" t="inlineStr">
        <is>
          <t>SBA Airport Restaurant and Coffee Shop</t>
        </is>
      </c>
      <c r="E3" s="2" t="inlineStr">
        <is>
          <t>Goleta, CA / Santa Barbara Airport</t>
        </is>
      </c>
      <c r="F3" s="2" t="inlineStr">
        <is>
          <t>Meal - outbound breakfast</t>
        </is>
      </c>
      <c r="G3" s="3" t="n">
        <v>18.72</v>
      </c>
      <c r="H3" s="3">
        <f>ROUND(G3*15%,2)</f>
        <v/>
      </c>
      <c r="I3" s="3">
        <f>G3+H3</f>
        <v/>
      </c>
      <c r="J3" s="2" t="inlineStr">
        <is>
          <t>Mastercard ending 8609</t>
        </is>
      </c>
      <c r="K3" s="2" t="inlineStr">
        <is>
          <t>receipt-pdfs/R001_SBA_Airport_Restaurant_and_Coffee_Shop_18-72.pdf</t>
        </is>
      </c>
      <c r="L3" s="2" t="inlineStr">
        <is>
          <t>16 oz dirty chai, butter croissant, tax, tip; check/order #221</t>
        </is>
      </c>
    </row>
    <row r="4">
      <c r="A4" s="2" t="inlineStr">
        <is>
          <t>R002</t>
        </is>
      </c>
      <c r="B4" s="2" t="inlineStr">
        <is>
          <t>2026-07-23</t>
        </is>
      </c>
      <c r="C4" s="2" t="inlineStr">
        <is>
          <t>14:33</t>
        </is>
      </c>
      <c r="D4" s="2" t="inlineStr">
        <is>
          <t>Hudson</t>
        </is>
      </c>
      <c r="E4" s="2" t="inlineStr">
        <is>
          <t>SEA-TAC International Airport, Seattle, WA</t>
        </is>
      </c>
      <c r="F4" s="2" t="inlineStr">
        <is>
          <t>Meal - outbound lunch</t>
        </is>
      </c>
      <c r="G4" s="3" t="n">
        <v>23.23</v>
      </c>
      <c r="H4" s="3">
        <f>ROUND(G4*15%,2)</f>
        <v/>
      </c>
      <c r="I4" s="3">
        <f>G4+H4</f>
        <v/>
      </c>
      <c r="J4" s="2" t="inlineStr">
        <is>
          <t>Mastercard ending 8609</t>
        </is>
      </c>
      <c r="K4" s="2" t="inlineStr">
        <is>
          <t>receipt-pdfs/R002_Hudson_23-23.pdf</t>
        </is>
      </c>
      <c r="L4" s="2" t="inlineStr">
        <is>
          <t>ET FRUMAGE, Kit Kat bar, Barq's root beer, taxes; store 2366 transaction 116010</t>
        </is>
      </c>
    </row>
    <row r="5">
      <c r="A5" s="2" t="inlineStr">
        <is>
          <t>R008</t>
        </is>
      </c>
      <c r="B5" s="2" t="inlineStr">
        <is>
          <t>2026-07-23</t>
        </is>
      </c>
      <c r="C5" s="2" t="inlineStr">
        <is>
          <t>14:30</t>
        </is>
      </c>
      <c r="D5" s="2" t="inlineStr">
        <is>
          <t>Payless / Avis Budget</t>
        </is>
      </c>
      <c r="E5" s="2" t="inlineStr">
        <is>
          <t>Seattle-Tacoma International Airport</t>
        </is>
      </c>
      <c r="F5" s="2" t="inlineStr">
        <is>
          <t>Car rental</t>
        </is>
      </c>
      <c r="G5" s="3" t="n">
        <v>307.77</v>
      </c>
      <c r="H5" s="3">
        <f>ROUND(G5*15%,2)</f>
        <v/>
      </c>
      <c r="I5" s="3">
        <f>G5+H5</f>
        <v/>
      </c>
      <c r="J5" s="2" t="inlineStr">
        <is>
          <t>Not specified in receipt</t>
        </is>
      </c>
      <c r="K5" s="2" t="inlineStr">
        <is>
          <t>receipt-pdfs/R008_Payless___Avis_Budget_307-77.pdf</t>
        </is>
      </c>
      <c r="L5" s="2" t="inlineStr">
        <is>
          <t>Mazda CX-50 or similar; confirmation 21886108US6; pickup 2026-07-23 14:30, drop-off 2026-07-24 14:30; estimated total shown on document</t>
        </is>
      </c>
    </row>
    <row r="6">
      <c r="A6" s="2" t="inlineStr">
        <is>
          <t>R007</t>
        </is>
      </c>
      <c r="B6" s="2" t="inlineStr">
        <is>
          <t>2026-07-23</t>
        </is>
      </c>
      <c r="C6" s="2" t="inlineStr">
        <is>
          <t>19:00</t>
        </is>
      </c>
      <c r="D6" s="2" t="inlineStr">
        <is>
          <t>Holiday Inn &amp; Suites Bellingham by IHG</t>
        </is>
      </c>
      <c r="E6" s="2" t="inlineStr">
        <is>
          <t>4260 Mitchell Way, Bellingham, WA</t>
        </is>
      </c>
      <c r="F6" s="2" t="inlineStr">
        <is>
          <t>Lodging</t>
        </is>
      </c>
      <c r="G6" s="3" t="n">
        <v>209.3</v>
      </c>
      <c r="H6" s="3">
        <f>ROUND(G6*15%,2)</f>
        <v/>
      </c>
      <c r="I6" s="3">
        <f>G6+H6</f>
        <v/>
      </c>
      <c r="J6" s="2" t="inlineStr">
        <is>
          <t>Paid with Booking.com</t>
        </is>
      </c>
      <c r="K6" s="2" t="inlineStr">
        <is>
          <t>receipt-pdfs/R007_Holiday_Inn___Suites_Bellingham_by_IHG_209-30.pdf</t>
        </is>
      </c>
      <c r="L6" s="2" t="inlineStr">
        <is>
          <t>One night, Standard King Room, Booking.com confirmation 5674580542; total paid includes travel protection</t>
        </is>
      </c>
    </row>
    <row r="7">
      <c r="A7" s="2" t="inlineStr">
        <is>
          <t>R003</t>
        </is>
      </c>
      <c r="B7" s="2" t="inlineStr">
        <is>
          <t>2026-07-24</t>
        </is>
      </c>
      <c r="C7" s="2" t="inlineStr">
        <is>
          <t>06:36</t>
        </is>
      </c>
      <c r="D7" s="2" t="inlineStr">
        <is>
          <t>GURANAND</t>
        </is>
      </c>
      <c r="E7" s="2" t="inlineStr">
        <is>
          <t>4603 S 188th St, SeaTac, WA</t>
        </is>
      </c>
      <c r="F7" s="2" t="inlineStr">
        <is>
          <t>Fuel</t>
        </is>
      </c>
      <c r="G7" s="3" t="n">
        <v>45.42</v>
      </c>
      <c r="H7" s="3">
        <f>ROUND(G7*15%,2)</f>
        <v/>
      </c>
      <c r="I7" s="3">
        <f>G7+H7</f>
        <v/>
      </c>
      <c r="J7" s="2" t="inlineStr">
        <is>
          <t>Mastercard ending 8609</t>
        </is>
      </c>
      <c r="K7" s="2" t="inlineStr">
        <is>
          <t>receipt-pdfs/R003_GURANAND_45-42.pdf</t>
        </is>
      </c>
      <c r="L7" s="2" t="inlineStr">
        <is>
          <t>Regular gasoline, 7.327 gallons at $6.199/gallon; pump 2 invoice 063019</t>
        </is>
      </c>
    </row>
    <row r="8">
      <c r="A8" s="2" t="inlineStr">
        <is>
          <t>R004</t>
        </is>
      </c>
      <c r="B8" s="2" t="inlineStr">
        <is>
          <t>2026-07-24</t>
        </is>
      </c>
      <c r="C8" s="2" t="inlineStr">
        <is>
          <t>07:40</t>
        </is>
      </c>
      <c r="D8" s="2" t="inlineStr">
        <is>
          <t>Capitol Hill Foo</t>
        </is>
      </c>
      <c r="E8" s="2" t="inlineStr">
        <is>
          <t>SEATAC Airport</t>
        </is>
      </c>
      <c r="F8" s="2" t="inlineStr">
        <is>
          <t>Meal - return breakfast</t>
        </is>
      </c>
      <c r="G8" s="3" t="n">
        <v>15.24</v>
      </c>
      <c r="H8" s="3">
        <f>ROUND(G8*15%,2)</f>
        <v/>
      </c>
      <c r="I8" s="3">
        <f>G8+H8</f>
        <v/>
      </c>
      <c r="J8" s="2" t="inlineStr">
        <is>
          <t>Mastercard ending 8609</t>
        </is>
      </c>
      <c r="K8" s="2" t="inlineStr">
        <is>
          <t>receipt-pdfs/R004_Capitol_Hill_Foo_15-24.pdf</t>
        </is>
      </c>
      <c r="L8" s="2" t="inlineStr">
        <is>
          <t>Large latte with vanilla and blueberry muffin; check 839</t>
        </is>
      </c>
    </row>
    <row r="9">
      <c r="A9" s="2" t="inlineStr">
        <is>
          <t>R005</t>
        </is>
      </c>
      <c r="B9" s="2" t="inlineStr">
        <is>
          <t>2026-07-24</t>
        </is>
      </c>
      <c r="C9" s="2" t="inlineStr">
        <is>
          <t>13:58</t>
        </is>
      </c>
      <c r="D9" s="2" t="inlineStr">
        <is>
          <t>Santa Barbara Airport</t>
        </is>
      </c>
      <c r="E9" s="2" t="inlineStr">
        <is>
          <t>Santa Barbara Airport</t>
        </is>
      </c>
      <c r="F9" s="2" t="inlineStr">
        <is>
          <t>Parking</t>
        </is>
      </c>
      <c r="G9" s="3" t="n">
        <v>46</v>
      </c>
      <c r="H9" s="3">
        <f>ROUND(G9*15%,2)</f>
        <v/>
      </c>
      <c r="I9" s="3">
        <f>G9+H9</f>
        <v/>
      </c>
      <c r="J9" s="2" t="inlineStr">
        <is>
          <t>Mastercard ending 1676</t>
        </is>
      </c>
      <c r="K9" s="2" t="inlineStr">
        <is>
          <t>receipt-pdfs/R005_Santa_Barbara_Airport_46-00.pdf</t>
        </is>
      </c>
      <c r="L9" s="2" t="inlineStr">
        <is>
          <t>Airport parking; ticket 30472590; entry 2026-07-23 09:16 AM</t>
        </is>
      </c>
    </row>
    <row r="10">
      <c r="A10" s="4" t="inlineStr">
        <is>
          <t>TOTAL</t>
        </is>
      </c>
      <c r="B10" s="4" t="inlineStr"/>
      <c r="C10" s="4" t="inlineStr"/>
      <c r="D10" s="4" t="inlineStr"/>
      <c r="E10" s="4" t="inlineStr"/>
      <c r="F10" s="4" t="inlineStr"/>
      <c r="G10" s="5">
        <f>SUM(G2:G9)</f>
        <v/>
      </c>
      <c r="H10" s="5">
        <f>SUM(H2:H9)</f>
        <v/>
      </c>
      <c r="I10" s="5">
        <f>SUM(I2:I9)</f>
        <v/>
      </c>
      <c r="J10" s="4" t="inlineStr"/>
      <c r="K10" s="4" t="inlineStr"/>
      <c r="L10" s="4" t="inlineStr"/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18" customWidth="1" min="3" max="3"/>
  </cols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Reference</t>
        </is>
      </c>
    </row>
    <row r="2">
      <c r="A2" s="2" t="inlineStr">
        <is>
          <t>2026-07-22 14:09 PT</t>
        </is>
      </c>
      <c r="B2" s="2" t="inlineStr">
        <is>
          <t>Alaska Airlines round-trip reservation printed/receipt created; confirmation INBEDI.</t>
        </is>
      </c>
      <c r="C2" s="2" t="inlineStr">
        <is>
          <t>Receipt R006</t>
        </is>
      </c>
    </row>
    <row r="3">
      <c r="A3" s="2" t="inlineStr">
        <is>
          <t>2026-07-23 08:30 PT</t>
        </is>
      </c>
      <c r="B3" s="2" t="inlineStr">
        <is>
          <t>Departed home to drive to airport.</t>
        </is>
      </c>
      <c r="C3" s="2" t="inlineStr">
        <is>
          <t>Travel/logistics</t>
        </is>
      </c>
    </row>
    <row r="4">
      <c r="A4" s="2" t="inlineStr">
        <is>
          <t>2026-07-23 09:42 PT</t>
        </is>
      </c>
      <c r="B4" s="2" t="inlineStr">
        <is>
          <t>Outbound airport breakfast at SBA Airport Restaurant and Coffee Shop.</t>
        </is>
      </c>
      <c r="C4" s="2" t="inlineStr">
        <is>
          <t>Receipt R001</t>
        </is>
      </c>
    </row>
    <row r="5">
      <c r="A5" s="2" t="inlineStr">
        <is>
          <t>2026-07-23 10:51 PT</t>
        </is>
      </c>
      <c r="B5" s="2" t="inlineStr">
        <is>
          <t>Alaska 2143 departed Santa Barbara (SBA) for Seattle (SEA).</t>
        </is>
      </c>
      <c r="C5" s="2" t="inlineStr">
        <is>
          <t>Flight R006</t>
        </is>
      </c>
    </row>
    <row r="6">
      <c r="A6" s="2" t="inlineStr">
        <is>
          <t>2026-07-23 13:26 PT</t>
        </is>
      </c>
      <c r="B6" s="2" t="inlineStr">
        <is>
          <t>Alaska 2143 arrived Seattle (SEA).</t>
        </is>
      </c>
      <c r="C6" s="2" t="inlineStr">
        <is>
          <t>Flight R006</t>
        </is>
      </c>
    </row>
    <row r="7">
      <c r="A7" s="2" t="inlineStr">
        <is>
          <t>2026-07-23 14:30 PT</t>
        </is>
      </c>
      <c r="B7" s="2" t="inlineStr">
        <is>
          <t>Car rental scheduled pickup at Seattle-Tacoma International Airport.</t>
        </is>
      </c>
      <c r="C7" s="2" t="inlineStr">
        <is>
          <t>Receipt R008</t>
        </is>
      </c>
    </row>
    <row r="8">
      <c r="A8" s="2" t="inlineStr">
        <is>
          <t>2026-07-23 14:33 PT</t>
        </is>
      </c>
      <c r="B8" s="2" t="inlineStr">
        <is>
          <t>Lunch at Hudson in SEA-TAC during outbound travel.</t>
        </is>
      </c>
      <c r="C8" s="2" t="inlineStr">
        <is>
          <t>Receipt R002</t>
        </is>
      </c>
    </row>
    <row r="9">
      <c r="A9" s="2" t="inlineStr">
        <is>
          <t>2026-07-23 approx. 14:45 PT</t>
        </is>
      </c>
      <c r="B9" s="2" t="inlineStr">
        <is>
          <t>Left Seattle airport after slow rental car pickup and drove to Barkley Heights.</t>
        </is>
      </c>
      <c r="C9" s="2" t="inlineStr">
        <is>
          <t>Travel/logistics</t>
        </is>
      </c>
    </row>
    <row r="10">
      <c r="A10" s="2" t="inlineStr">
        <is>
          <t>2026-07-23 approx. 18:05 PT</t>
        </is>
      </c>
      <c r="B10" s="2" t="inlineStr">
        <is>
          <t>Arrived at Barkley Heights job site; David Ebenal expected shortly.</t>
        </is>
      </c>
      <c r="C10" s="2" t="inlineStr">
        <is>
          <t>Site arrival</t>
        </is>
      </c>
    </row>
    <row r="11">
      <c r="A11" s="2" t="inlineStr">
        <is>
          <t>2026-07-23 approx. 18:15-18:30 PT</t>
        </is>
      </c>
      <c r="B11" s="2" t="inlineStr">
        <is>
          <t>Conversation with David Ebenal; limited project history provided per Dave notes.</t>
        </is>
      </c>
      <c r="C11" s="2" t="inlineStr">
        <is>
          <t>Field conversation</t>
        </is>
      </c>
    </row>
    <row r="12">
      <c r="A12" s="2" t="inlineStr">
        <is>
          <t>2026-07-23 approx. 18:37 PT</t>
        </is>
      </c>
      <c r="B12" s="2" t="inlineStr">
        <is>
          <t>Observed/measured original back-cut slope estimate at approximately 55 to 70 degrees.</t>
        </is>
      </c>
      <c r="C12" s="2" t="inlineStr">
        <is>
          <t>Field measurement M001</t>
        </is>
      </c>
    </row>
    <row r="13">
      <c r="A13" s="2" t="inlineStr">
        <is>
          <t>2026-07-23 approx. 18:43 PT</t>
        </is>
      </c>
      <c r="B13" s="2" t="inlineStr">
        <is>
          <t>Measured soldier pile verticality about 3 feet above concrete wall/wall beam area; piles leaned uphill approximately 0.6 to 1.4 degrees.</t>
        </is>
      </c>
      <c r="C13" s="2" t="inlineStr">
        <is>
          <t>Field measurement M002</t>
        </is>
      </c>
    </row>
    <row r="14">
      <c r="A14" s="2" t="inlineStr">
        <is>
          <t>2026-07-23 19:00 PT</t>
        </is>
      </c>
      <c r="B14" s="2" t="inlineStr">
        <is>
          <t>Left Barkley Heights job site; hotel check-in window requested for 19:00-20:00.</t>
        </is>
      </c>
      <c r="C14" s="2" t="inlineStr">
        <is>
          <t>Site/lodging</t>
        </is>
      </c>
    </row>
    <row r="15">
      <c r="A15" s="2" t="inlineStr">
        <is>
          <t>2026-07-24 04:45 PT</t>
        </is>
      </c>
      <c r="B15" s="2" t="inlineStr">
        <is>
          <t>Left Bellingham hotel to drive back to Seattle airport.</t>
        </is>
      </c>
      <c r="C15" s="2" t="inlineStr">
        <is>
          <t>Travel/logistics</t>
        </is>
      </c>
    </row>
    <row r="16">
      <c r="A16" s="2" t="inlineStr">
        <is>
          <t>2026-07-24 06:36 PT</t>
        </is>
      </c>
      <c r="B16" s="2" t="inlineStr">
        <is>
          <t>Purchased return-travel gasoline in SeaTac.</t>
        </is>
      </c>
      <c r="C16" s="2" t="inlineStr">
        <is>
          <t>Receipt R003</t>
        </is>
      </c>
    </row>
    <row r="17">
      <c r="A17" s="2" t="inlineStr">
        <is>
          <t>2026-07-24 07:40 PT</t>
        </is>
      </c>
      <c r="B17" s="2" t="inlineStr">
        <is>
          <t>Purchased return-travel breakfast at SEATAC Airport.</t>
        </is>
      </c>
      <c r="C17" s="2" t="inlineStr">
        <is>
          <t>Receipt R004</t>
        </is>
      </c>
    </row>
    <row r="18">
      <c r="A18" s="2" t="inlineStr">
        <is>
          <t>2026-07-24 14:30 PT</t>
        </is>
      </c>
      <c r="B18" s="2" t="inlineStr">
        <is>
          <t>Car rental scheduled drop-off at Seattle-Tacoma International Airport.</t>
        </is>
      </c>
      <c r="C18" s="2" t="inlineStr">
        <is>
          <t>Receipt R008</t>
        </is>
      </c>
    </row>
    <row r="19">
      <c r="A19" s="2" t="inlineStr">
        <is>
          <t>2026-07-24 16:06 PT</t>
        </is>
      </c>
      <c r="B19" s="2" t="inlineStr">
        <is>
          <t>Alaska 400 departed Seattle (SEA) for Santa Barbara (SBA).</t>
        </is>
      </c>
      <c r="C19" s="2" t="inlineStr">
        <is>
          <t>Flight R006</t>
        </is>
      </c>
    </row>
    <row r="20">
      <c r="A20" s="2" t="inlineStr">
        <is>
          <t>2026-07-24 18:38 PT</t>
        </is>
      </c>
      <c r="B20" s="2" t="inlineStr">
        <is>
          <t>Alaska 400 arrived Santa Barbara (SBA).</t>
        </is>
      </c>
      <c r="C20" s="2" t="inlineStr">
        <is>
          <t>Flight R006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48" customWidth="1" min="3" max="3"/>
    <col width="12" customWidth="1" min="4" max="4"/>
    <col width="70" customWidth="1" min="5" max="5"/>
  </cols>
  <sheetData>
    <row r="1">
      <c r="A1" s="1" t="inlineStr">
        <is>
          <t>Receipt ID</t>
        </is>
      </c>
      <c r="B1" s="1" t="inlineStr">
        <is>
          <t>Source File</t>
        </is>
      </c>
      <c r="C1" s="1" t="inlineStr">
        <is>
          <t>PDF Copy</t>
        </is>
      </c>
      <c r="D1" s="1" t="inlineStr">
        <is>
          <t>Amount</t>
        </is>
      </c>
      <c r="E1" s="1" t="inlineStr">
        <is>
          <t>Notes</t>
        </is>
      </c>
    </row>
    <row r="2">
      <c r="A2" s="2" t="inlineStr">
        <is>
          <t>R006</t>
        </is>
      </c>
      <c r="B2" s="2" t="inlineStr">
        <is>
          <t>/home/davesalter/.openclaw/media/inbound/Flight_Confirmation_and_Receipt---471d33c3-ca3c-4af9-9185-8dba40feb403.pdf</t>
        </is>
      </c>
      <c r="C2" s="2" t="inlineStr">
        <is>
          <t>receipt-pdfs/R006_Alaska_Airlines_896-80.pdf</t>
        </is>
      </c>
      <c r="D2" s="3" t="n">
        <v>896.8</v>
      </c>
      <c r="E2" s="2" t="inlineStr">
        <is>
          <t>Round-trip airfare for David Salter; confirmation INBEDI; e-ticket 0272152879104; Alaska 2143 SBA-SEA and Alaska 400 SEA-SBA</t>
        </is>
      </c>
    </row>
    <row r="3">
      <c r="A3" s="2" t="inlineStr">
        <is>
          <t>R001</t>
        </is>
      </c>
      <c r="B3" s="2" t="inlineStr">
        <is>
          <t>/home/davesalter/.openclaw/media/inbound/Gmail_Tell_us_how_we_did_Receipt_for_Order_221_at_SBA_Airpor---63587057-dd85-4015-848a-83d1a705a002.pdf</t>
        </is>
      </c>
      <c r="C3" s="2" t="inlineStr">
        <is>
          <t>receipt-pdfs/R001_SBA_Airport_Restaurant_and_Coffee_Shop_18-72.pdf</t>
        </is>
      </c>
      <c r="D3" s="3" t="n">
        <v>18.72</v>
      </c>
      <c r="E3" s="2" t="inlineStr">
        <is>
          <t>16 oz dirty chai, butter croissant, tax, tip; check/order #221</t>
        </is>
      </c>
    </row>
    <row r="4">
      <c r="A4" s="2" t="inlineStr">
        <is>
          <t>R002</t>
        </is>
      </c>
      <c r="B4" s="2" t="inlineStr">
        <is>
          <t>/home/davesalter/.openclaw/media/inbound/9c897fed-beda-40a6-bd3b-404acf8a4b1f.jpg</t>
        </is>
      </c>
      <c r="C4" s="2" t="inlineStr">
        <is>
          <t>receipt-pdfs/R002_Hudson_23-23.pdf</t>
        </is>
      </c>
      <c r="D4" s="3" t="n">
        <v>23.23</v>
      </c>
      <c r="E4" s="2" t="inlineStr">
        <is>
          <t>ET FRUMAGE, Kit Kat bar, Barq's root beer, taxes; store 2366 transaction 116010</t>
        </is>
      </c>
    </row>
    <row r="5">
      <c r="A5" s="2" t="inlineStr">
        <is>
          <t>R008</t>
        </is>
      </c>
      <c r="B5" s="2" t="inlineStr">
        <is>
          <t>/home/davesalter/.openclaw/media/inbound/Car_Rental---6dc63fcf-c72b-4d62-b6b9-c9a71a11ac68.pdf</t>
        </is>
      </c>
      <c r="C5" s="2" t="inlineStr">
        <is>
          <t>receipt-pdfs/R008_Payless___Avis_Budget_307-77.pdf</t>
        </is>
      </c>
      <c r="D5" s="3" t="n">
        <v>307.77</v>
      </c>
      <c r="E5" s="2" t="inlineStr">
        <is>
          <t>Mazda CX-50 or similar; confirmation 21886108US6; pickup 2026-07-23 14:30, drop-off 2026-07-24 14:30; estimated total shown on document</t>
        </is>
      </c>
    </row>
    <row r="6">
      <c r="A6" s="2" t="inlineStr">
        <is>
          <t>R007</t>
        </is>
      </c>
      <c r="B6" s="2" t="inlineStr">
        <is>
          <t>/home/davesalter/.openclaw/media/inbound/Hotel_Stay---81afe382-f53a-4d58-a679-eb31e6291e14.pdf</t>
        </is>
      </c>
      <c r="C6" s="2" t="inlineStr">
        <is>
          <t>receipt-pdfs/R007_Holiday_Inn___Suites_Bellingham_by_IHG_209-30.pdf</t>
        </is>
      </c>
      <c r="D6" s="3" t="n">
        <v>209.3</v>
      </c>
      <c r="E6" s="2" t="inlineStr">
        <is>
          <t>One night, Standard King Room, Booking.com confirmation 5674580542; total paid includes travel protection</t>
        </is>
      </c>
    </row>
    <row r="7">
      <c r="A7" s="2" t="inlineStr">
        <is>
          <t>R003</t>
        </is>
      </c>
      <c r="B7" s="2" t="inlineStr">
        <is>
          <t>/home/davesalter/.openclaw/media/inbound/23c5ac22-3003-492b-a1f4-27e8e96cc20a.jpg</t>
        </is>
      </c>
      <c r="C7" s="2" t="inlineStr">
        <is>
          <t>receipt-pdfs/R003_GURANAND_45-42.pdf</t>
        </is>
      </c>
      <c r="D7" s="3" t="n">
        <v>45.42</v>
      </c>
      <c r="E7" s="2" t="inlineStr">
        <is>
          <t>Regular gasoline, 7.327 gallons at $6.199/gallon; pump 2 invoice 063019</t>
        </is>
      </c>
    </row>
    <row r="8">
      <c r="A8" s="2" t="inlineStr">
        <is>
          <t>R004</t>
        </is>
      </c>
      <c r="B8" s="2" t="inlineStr">
        <is>
          <t>/home/davesalter/.openclaw/media/inbound/70c0d28b-855d-404e-a630-88cf9f2d7ae1.jpg</t>
        </is>
      </c>
      <c r="C8" s="2" t="inlineStr">
        <is>
          <t>receipt-pdfs/R004_Capitol_Hill_Foo_15-24.pdf</t>
        </is>
      </c>
      <c r="D8" s="3" t="n">
        <v>15.24</v>
      </c>
      <c r="E8" s="2" t="inlineStr">
        <is>
          <t>Large latte with vanilla and blueberry muffin; check 839</t>
        </is>
      </c>
    </row>
    <row r="9">
      <c r="A9" s="2" t="inlineStr">
        <is>
          <t>R005</t>
        </is>
      </c>
      <c r="B9" s="2" t="inlineStr">
        <is>
          <t>/home/davesalter/.openclaw/media/inbound/e82f96e2-1914-498a-899e-74d41dc3efd3.jpg</t>
        </is>
      </c>
      <c r="C9" s="2" t="inlineStr">
        <is>
          <t>receipt-pdfs/R005_Santa_Barbara_Airport_46-00.pdf</t>
        </is>
      </c>
      <c r="D9" s="3" t="n">
        <v>46</v>
      </c>
      <c r="E9" s="2" t="inlineStr">
        <is>
          <t>Airport parking; ticket 30472590; entry 2026-07-23 09:16 AM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2026-07-27T22:50:06Z</dcterms:created>
  <dcterms:modified xsi:type="dcterms:W3CDTF">2026-07-27T22:50:06Z</dcterms:modified>
</cp:coreProperties>
</file>