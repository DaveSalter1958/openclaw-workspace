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RS Engineering Dropbox\Dave Salter\Private - Personal\00001  DRSEngineering 1  Expert Witness\2026-004 Barkley Heights\099  Invoices\20260731 Invoice\"/>
    </mc:Choice>
  </mc:AlternateContent>
  <xr:revisionPtr revIDLastSave="0" documentId="13_ncr:1_{61980654-F329-4EE8-BF78-90AC395A957A}" xr6:coauthVersionLast="47" xr6:coauthVersionMax="47" xr10:uidLastSave="{00000000-0000-0000-0000-000000000000}"/>
  <bookViews>
    <workbookView xWindow="-120" yWindow="-120" windowWidth="30960" windowHeight="16800" activeTab="2" xr2:uid="{00000000-000D-0000-FFFF-FFFF00000000}"/>
  </bookViews>
  <sheets>
    <sheet name="Expenses" sheetId="1" r:id="rId1"/>
    <sheet name="Itinerary" sheetId="2" r:id="rId2"/>
    <sheet name="Invoice" sheetId="4" r:id="rId3"/>
  </sheets>
  <definedNames>
    <definedName name="_xlnm._FilterDatabase" localSheetId="0" hidden="1">Expenses!$A$1:$L$10</definedName>
    <definedName name="_xlnm._FilterDatabase" localSheetId="1" hidden="1">Itinerary!$A$3:$N$19</definedName>
    <definedName name="_xlnm.Print_Area" localSheetId="2">Invoice!$A$1:$H$39</definedName>
    <definedName name="_xlnm.Print_Titles" localSheetId="2">Invoice!$3:$16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4" l="1"/>
  <c r="G25" i="4" s="1"/>
  <c r="F24" i="4"/>
  <c r="G24" i="4" s="1"/>
  <c r="F23" i="4"/>
  <c r="G23" i="4" s="1"/>
  <c r="F22" i="4"/>
  <c r="G22" i="4" s="1"/>
  <c r="F21" i="4"/>
  <c r="G21" i="4" s="1"/>
  <c r="F20" i="4"/>
  <c r="G20" i="4" s="1"/>
  <c r="F19" i="4"/>
  <c r="G19" i="4" s="1"/>
  <c r="F18" i="4"/>
  <c r="G18" i="4" s="1"/>
  <c r="F17" i="4"/>
  <c r="G17" i="4" s="1"/>
  <c r="H6" i="1"/>
  <c r="I6" i="1" s="1"/>
  <c r="E32" i="4"/>
  <c r="G31" i="4"/>
  <c r="G30" i="4"/>
  <c r="E12" i="4"/>
  <c r="E11" i="4"/>
  <c r="E26" i="4"/>
  <c r="D22" i="2"/>
  <c r="E4" i="2"/>
  <c r="E21" i="2" s="1"/>
  <c r="F21" i="2" s="1"/>
  <c r="J16" i="2"/>
  <c r="L16" i="2" s="1"/>
  <c r="J20" i="2"/>
  <c r="L20" i="2" s="1"/>
  <c r="M20" i="2" s="1"/>
  <c r="J17" i="2"/>
  <c r="L17" i="2" s="1"/>
  <c r="J13" i="2"/>
  <c r="L13" i="2" s="1"/>
  <c r="J9" i="2"/>
  <c r="L9" i="2" s="1"/>
  <c r="M9" i="2" s="1"/>
  <c r="J5" i="2"/>
  <c r="L5" i="2" s="1"/>
  <c r="J6" i="2"/>
  <c r="L6" i="2" s="1"/>
  <c r="J21" i="2"/>
  <c r="L21" i="2" s="1"/>
  <c r="L14" i="2"/>
  <c r="F11" i="2"/>
  <c r="L8" i="2"/>
  <c r="M8" i="2" s="1"/>
  <c r="J4" i="2"/>
  <c r="L4" i="2" s="1"/>
  <c r="H10" i="1"/>
  <c r="I10" i="1" s="1"/>
  <c r="H9" i="1"/>
  <c r="I9" i="1" s="1"/>
  <c r="H8" i="1"/>
  <c r="H5" i="1"/>
  <c r="I5" i="1" s="1"/>
  <c r="H7" i="1"/>
  <c r="I7" i="1" s="1"/>
  <c r="H4" i="1"/>
  <c r="I4" i="1" s="1"/>
  <c r="H3" i="1"/>
  <c r="I3" i="1" s="1"/>
  <c r="H2" i="1"/>
  <c r="I2" i="1" s="1"/>
  <c r="F26" i="4" l="1"/>
  <c r="G32" i="4"/>
  <c r="E13" i="4"/>
  <c r="G26" i="4"/>
  <c r="M6" i="2"/>
  <c r="L22" i="2"/>
  <c r="M21" i="2"/>
  <c r="M11" i="2"/>
  <c r="M17" i="2"/>
  <c r="M16" i="2"/>
  <c r="M14" i="2"/>
  <c r="F15" i="2"/>
  <c r="E19" i="2"/>
  <c r="F19" i="2" s="1"/>
  <c r="M19" i="2" s="1"/>
  <c r="F4" i="2"/>
  <c r="E5" i="2"/>
  <c r="F10" i="2"/>
  <c r="M10" i="2" s="1"/>
  <c r="E12" i="2"/>
  <c r="F12" i="2" s="1"/>
  <c r="M12" i="2" s="1"/>
  <c r="I8" i="1"/>
  <c r="F32" i="4" l="1"/>
  <c r="G36" i="4"/>
  <c r="G12" i="4"/>
  <c r="G35" i="4"/>
  <c r="M15" i="2"/>
  <c r="M4" i="2"/>
  <c r="F5" i="2"/>
  <c r="G11" i="4" s="1"/>
  <c r="M13" i="2"/>
  <c r="F12" i="4" l="1"/>
  <c r="M5" i="2"/>
  <c r="F22" i="2"/>
  <c r="M22" i="2" l="1"/>
  <c r="G13" i="4" l="1"/>
  <c r="F11" i="4"/>
  <c r="G34" i="4" l="1"/>
  <c r="G37" i="4" s="1"/>
  <c r="F13" i="4"/>
</calcChain>
</file>

<file path=xl/sharedStrings.xml><?xml version="1.0" encoding="utf-8"?>
<sst xmlns="http://schemas.openxmlformats.org/spreadsheetml/2006/main" count="243" uniqueCount="177">
  <si>
    <t>Receipt ID</t>
  </si>
  <si>
    <t>Date</t>
  </si>
  <si>
    <t>Time</t>
  </si>
  <si>
    <t>Vendor</t>
  </si>
  <si>
    <t>Location</t>
  </si>
  <si>
    <t>Category</t>
  </si>
  <si>
    <t>Amount</t>
  </si>
  <si>
    <t>15% Markup</t>
  </si>
  <si>
    <t>Billable Total</t>
  </si>
  <si>
    <t>Payment</t>
  </si>
  <si>
    <t>Receipt PDF</t>
  </si>
  <si>
    <t>Description</t>
  </si>
  <si>
    <t>R006</t>
  </si>
  <si>
    <t>2026-07-22</t>
  </si>
  <si>
    <t>14:09</t>
  </si>
  <si>
    <t>Alaska Airlines</t>
  </si>
  <si>
    <t>SBA-SEA / SEA-SBA</t>
  </si>
  <si>
    <t>Airfare</t>
  </si>
  <si>
    <t>Credit card ending 3514</t>
  </si>
  <si>
    <t>receipt-pdfs/R006_Alaska_Airlines_896-80.pdf</t>
  </si>
  <si>
    <t>Round-trip airfare for David Salter; confirmation INBEDI; e-ticket 0272152879104; Alaska 2143 SBA-SEA and Alaska 400 SEA-SBA</t>
  </si>
  <si>
    <t>R001</t>
  </si>
  <si>
    <t>2026-07-23</t>
  </si>
  <si>
    <t>09:42</t>
  </si>
  <si>
    <t>SBA Airport Restaurant and Coffee Shop</t>
  </si>
  <si>
    <t>Goleta, CA / Santa Barbara Airport</t>
  </si>
  <si>
    <t>Meal - outbound breakfast</t>
  </si>
  <si>
    <t>Mastercard ending 8609</t>
  </si>
  <si>
    <t>receipt-pdfs/R001_SBA_Airport_Restaurant_and_Coffee_Shop_18-72.pdf</t>
  </si>
  <si>
    <t>16 oz dirty chai, butter croissant, tax, tip; check/order #221</t>
  </si>
  <si>
    <t>R002</t>
  </si>
  <si>
    <t>14:33</t>
  </si>
  <si>
    <t>Hudson</t>
  </si>
  <si>
    <t>SEA-TAC International Airport, Seattle, WA</t>
  </si>
  <si>
    <t>Meal - outbound lunch</t>
  </si>
  <si>
    <t>receipt-pdfs/R002_Hudson_23-23.pdf</t>
  </si>
  <si>
    <t>ET FRUMAGE, Kit Kat bar, Barq's root beer, taxes; store 2366 transaction 116010</t>
  </si>
  <si>
    <t>R008</t>
  </si>
  <si>
    <t>14:30</t>
  </si>
  <si>
    <t>Payless / Avis Budget</t>
  </si>
  <si>
    <t>Seattle-Tacoma International Airport</t>
  </si>
  <si>
    <t>Car rental</t>
  </si>
  <si>
    <t>Not specified in receipt</t>
  </si>
  <si>
    <t>receipt-pdfs/R008_Payless___Avis_Budget_307-77.pdf</t>
  </si>
  <si>
    <t>Mazda CX-50 or similar; confirmation 21886108US6; pickup 2026-07-23 14:30, drop-off 2026-07-24 14:30; estimated total shown on document</t>
  </si>
  <si>
    <t>R007</t>
  </si>
  <si>
    <t>19:00</t>
  </si>
  <si>
    <t>Holiday Inn &amp; Suites Bellingham by IHG</t>
  </si>
  <si>
    <t>4260 Mitchell Way, Bellingham, WA</t>
  </si>
  <si>
    <t>Lodging</t>
  </si>
  <si>
    <t>Paid with Booking.com</t>
  </si>
  <si>
    <t>receipt-pdfs/R007_Holiday_Inn___Suites_Bellingham_by_IHG_209-30.pdf</t>
  </si>
  <si>
    <t>One night, Standard King Room, Booking.com confirmation 5674580542; total paid includes travel protection</t>
  </si>
  <si>
    <t>R003</t>
  </si>
  <si>
    <t>2026-07-24</t>
  </si>
  <si>
    <t>06:36</t>
  </si>
  <si>
    <t>GURANAND</t>
  </si>
  <si>
    <t>4603 S 188th St, SeaTac, WA</t>
  </si>
  <si>
    <t>Fuel</t>
  </si>
  <si>
    <t>receipt-pdfs/R003_GURANAND_45-42.pdf</t>
  </si>
  <si>
    <t>Regular gasoline, 7.327 gallons at $6.199/gallon; pump 2 invoice 063019</t>
  </si>
  <si>
    <t>R004</t>
  </si>
  <si>
    <t>07:40</t>
  </si>
  <si>
    <t>Capitol Hill Foo</t>
  </si>
  <si>
    <t>SEATAC Airport</t>
  </si>
  <si>
    <t>Meal - return breakfast</t>
  </si>
  <si>
    <t>receipt-pdfs/R004_Capitol_Hill_Foo_15-24.pdf</t>
  </si>
  <si>
    <t>Large latte with vanilla and blueberry muffin; check 839</t>
  </si>
  <si>
    <t>R005</t>
  </si>
  <si>
    <t>13:58</t>
  </si>
  <si>
    <t>Santa Barbara Airport</t>
  </si>
  <si>
    <t>Parking</t>
  </si>
  <si>
    <t>Mastercard ending 1676</t>
  </si>
  <si>
    <t>receipt-pdfs/R005_Santa_Barbara_Airport_46-00.pdf</t>
  </si>
  <si>
    <t>Airport parking; ticket 30472590; entry 2026-07-23 09:16 AM</t>
  </si>
  <si>
    <t>Event</t>
  </si>
  <si>
    <t>Reference</t>
  </si>
  <si>
    <t>2026-07-23 08:30 PT</t>
  </si>
  <si>
    <t>2026-07-23 09:42 PT</t>
  </si>
  <si>
    <t>Outbound airport breakfast at SBA Airport Restaurant and Coffee Shop.</t>
  </si>
  <si>
    <t>2026-07-23 10:51 PT</t>
  </si>
  <si>
    <t>Alaska 2143 departed Santa Barbara (SBA) for Seattle (SEA).</t>
  </si>
  <si>
    <t>2026-07-23 13:26 PT</t>
  </si>
  <si>
    <t>Alaska 2143 arrived Seattle (SEA).</t>
  </si>
  <si>
    <t>2026-07-23 14:30 PT</t>
  </si>
  <si>
    <t>Car rental scheduled pickup at Seattle-Tacoma International Airport.</t>
  </si>
  <si>
    <t>2026-07-23 14:33 PT</t>
  </si>
  <si>
    <t>Lunch at Hudson in SEA-TAC during outbound travel.</t>
  </si>
  <si>
    <t>2026-07-23 approx. 14:45 PT</t>
  </si>
  <si>
    <t>2026-07-23 approx. 18:05 PT</t>
  </si>
  <si>
    <t>2026-07-24 04:45 PT</t>
  </si>
  <si>
    <t>Left Bellingham hotel to drive back to Seattle airport.</t>
  </si>
  <si>
    <t>2026-07-24 06:36 PT</t>
  </si>
  <si>
    <t>Purchased return-travel gasoline in SeaTac.</t>
  </si>
  <si>
    <t>2026-07-24 07:40 PT</t>
  </si>
  <si>
    <t>Purchased return-travel breakfast at SEATAC Airport.</t>
  </si>
  <si>
    <t>Alaska 400 departed Seattle (SEA) for Santa Barbara (SBA).</t>
  </si>
  <si>
    <t>Alaska 400 arrived Santa Barbara (SBA).</t>
  </si>
  <si>
    <t>Notes</t>
  </si>
  <si>
    <t>Item</t>
  </si>
  <si>
    <t>Unit</t>
  </si>
  <si>
    <t>miles</t>
  </si>
  <si>
    <t>Rate</t>
  </si>
  <si>
    <t>Charge</t>
  </si>
  <si>
    <t>Markup</t>
  </si>
  <si>
    <t>Total Fee</t>
  </si>
  <si>
    <t>Left Seattle airport drive to Barkley Heights.</t>
  </si>
  <si>
    <t>Hrs</t>
  </si>
  <si>
    <t xml:space="preserve">Total </t>
  </si>
  <si>
    <t>Hourly Charges</t>
  </si>
  <si>
    <t>Expenses</t>
  </si>
  <si>
    <t>Total Charges</t>
  </si>
  <si>
    <t>Arrived at Barkley Heights job site; MetDavid Ebenal, inspected site, took observations, photographs etc</t>
  </si>
  <si>
    <t>2026-07-23 19:30 PT</t>
  </si>
  <si>
    <t>2026-07-23 20:00 PT</t>
  </si>
  <si>
    <t>Check in Hotel</t>
  </si>
  <si>
    <t xml:space="preserve">Left Barkley Heights job site; Drive to hotel </t>
  </si>
  <si>
    <t>Dinner Hotel</t>
  </si>
  <si>
    <t>2026-07-24 07:30 PT</t>
  </si>
  <si>
    <t>2026-07-24 13:30 PT</t>
  </si>
  <si>
    <t>2026-07-24 14:00 PT</t>
  </si>
  <si>
    <t>Depart Santa Barbara Airport Parking</t>
  </si>
  <si>
    <t>Drive - Arrive Office</t>
  </si>
  <si>
    <t>Departed Office Drive to airport.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</si>
  <si>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</si>
  <si>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</si>
  <si>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</si>
  <si>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</si>
  <si>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</si>
  <si>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</si>
  <si>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</si>
  <si>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</si>
  <si>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TOTAL DUE</t>
  </si>
  <si>
    <t>Reimbursable Expenses</t>
  </si>
  <si>
    <t>Professional Fees</t>
  </si>
  <si>
    <t>15% Handling</t>
  </si>
  <si>
    <t>Actual Cost</t>
  </si>
  <si>
    <t>Receipt</t>
  </si>
  <si>
    <t>Hours</t>
  </si>
  <si>
    <t>Scope</t>
  </si>
  <si>
    <t>Barkley Heights II, LLC v. Bradley Engineering - Whatcom County Case No. 26-2-01269-37</t>
  </si>
  <si>
    <t>Matter</t>
  </si>
  <si>
    <t>Bill To:</t>
  </si>
  <si>
    <t>2026-07-27</t>
  </si>
  <si>
    <t>Invoice Date:</t>
  </si>
  <si>
    <t>DSR1-2026-04-INV001</t>
  </si>
  <si>
    <t>Invoice No.:</t>
  </si>
  <si>
    <t>INVOICE</t>
  </si>
  <si>
    <t>Site visit to subject wall prior to remediation work</t>
  </si>
  <si>
    <t>Average Rate</t>
  </si>
  <si>
    <t>Mileage</t>
  </si>
  <si>
    <t>Miles</t>
  </si>
  <si>
    <t>Personel</t>
  </si>
  <si>
    <t>Principal</t>
  </si>
  <si>
    <t>Note:  All travel time to and from Seattle charged at 50% of agreed rate</t>
  </si>
  <si>
    <t>Travel from Site to office</t>
  </si>
  <si>
    <t xml:space="preserve">Travel from Office to Site.  Inspect subject wall </t>
  </si>
  <si>
    <r>
      <rPr>
        <b/>
        <sz val="11"/>
        <color theme="1"/>
        <rFont val="Calibri"/>
        <family val="2"/>
        <scheme val="minor"/>
      </rPr>
      <t>Breakfast</t>
    </r>
    <r>
      <rPr>
        <sz val="11"/>
        <color theme="1"/>
        <rFont val="Calibri"/>
        <family val="2"/>
        <scheme val="minor"/>
      </rPr>
      <t xml:space="preserve"> - 16 oz dirty chai, butter croissant, tax, tip; check/order #221</t>
    </r>
  </si>
  <si>
    <r>
      <rPr>
        <b/>
        <sz val="11"/>
        <color theme="1"/>
        <rFont val="Calibri"/>
        <family val="2"/>
        <scheme val="minor"/>
      </rPr>
      <t>Lunch</t>
    </r>
    <r>
      <rPr>
        <sz val="11"/>
        <color theme="1"/>
        <rFont val="Calibri"/>
        <family val="2"/>
        <scheme val="minor"/>
      </rPr>
      <t xml:space="preserve"> ET FRUMAGE, Kit Kat bar, Barq's root beer, taxes; store 2366 transaction 116010</t>
    </r>
  </si>
  <si>
    <r>
      <rPr>
        <b/>
        <sz val="11"/>
        <color theme="1"/>
        <rFont val="Calibri"/>
        <family val="2"/>
        <scheme val="minor"/>
      </rPr>
      <t>Car Renta</t>
    </r>
    <r>
      <rPr>
        <sz val="11"/>
        <color theme="1"/>
        <rFont val="Calibri"/>
        <family val="2"/>
        <scheme val="minor"/>
      </rPr>
      <t>l  - Mazda CX-50 or similar; confirmation 21886108US6; pickup 2026-07-23 14:30, drop-off 2026-07-24 14:30; estimated total shown on document</t>
    </r>
  </si>
  <si>
    <r>
      <rPr>
        <b/>
        <sz val="11"/>
        <color theme="1"/>
        <rFont val="Calibri"/>
        <family val="2"/>
        <scheme val="minor"/>
      </rPr>
      <t>Gasoline</t>
    </r>
    <r>
      <rPr>
        <sz val="11"/>
        <color theme="1"/>
        <rFont val="Calibri"/>
        <family val="2"/>
        <scheme val="minor"/>
      </rPr>
      <t>, 7.327 gallons at $6.199/gallon; pump 2 invoice 063019</t>
    </r>
  </si>
  <si>
    <r>
      <rPr>
        <b/>
        <sz val="11"/>
        <color theme="1"/>
        <rFont val="Calibri"/>
        <family val="2"/>
        <scheme val="minor"/>
      </rPr>
      <t>Hotel</t>
    </r>
    <r>
      <rPr>
        <sz val="11"/>
        <color theme="1"/>
        <rFont val="Calibri"/>
        <family val="2"/>
        <scheme val="minor"/>
      </rPr>
      <t xml:space="preserve"> - One night, Standard King Room, Booking.com confirmation 5674580542; total paid includes travel protection</t>
    </r>
  </si>
  <si>
    <r>
      <rPr>
        <b/>
        <sz val="11"/>
        <color theme="1"/>
        <rFont val="Calibri"/>
        <family val="2"/>
        <scheme val="minor"/>
      </rPr>
      <t>Breakfast</t>
    </r>
    <r>
      <rPr>
        <sz val="11"/>
        <color theme="1"/>
        <rFont val="Calibri"/>
        <family val="2"/>
        <scheme val="minor"/>
      </rPr>
      <t xml:space="preserve"> - Large latte with vanilla and blueberry muffin; check 839</t>
    </r>
  </si>
  <si>
    <r>
      <rPr>
        <b/>
        <sz val="11"/>
        <color theme="1"/>
        <rFont val="Calibri"/>
        <family val="2"/>
        <scheme val="minor"/>
      </rPr>
      <t>Airport parking</t>
    </r>
    <r>
      <rPr>
        <sz val="11"/>
        <color theme="1"/>
        <rFont val="Calibri"/>
        <family val="2"/>
        <scheme val="minor"/>
      </rPr>
      <t>; ticket 30472590; entry 2026-07-23 09:16 AM</t>
    </r>
  </si>
  <si>
    <r>
      <rPr>
        <b/>
        <sz val="11"/>
        <color theme="1"/>
        <rFont val="Calibri"/>
        <family val="2"/>
        <scheme val="minor"/>
      </rPr>
      <t>Round-trip airfare</t>
    </r>
    <r>
      <rPr>
        <sz val="11"/>
        <color theme="1"/>
        <rFont val="Calibri"/>
        <family val="2"/>
        <scheme val="minor"/>
      </rPr>
      <t xml:space="preserve"> for David Salter; confirmation INBEDI; e-ticket 0272152879104; Alaska 2143 SBA-SEA and Alaska 400 SEA-SBA</t>
    </r>
  </si>
  <si>
    <t>Total Fees</t>
  </si>
  <si>
    <t>Rate / Mile</t>
  </si>
  <si>
    <t>Office to Santa Barbara Airport</t>
  </si>
  <si>
    <t>Total Mileage  Expenses</t>
  </si>
  <si>
    <t>Total Reimbursable Expenses</t>
  </si>
  <si>
    <t>Mileage Expenses</t>
  </si>
  <si>
    <r>
      <rPr>
        <b/>
        <sz val="11"/>
        <color theme="1"/>
        <rFont val="Calibri"/>
        <family val="2"/>
        <scheme val="minor"/>
      </rPr>
      <t>Dinnerl</t>
    </r>
    <r>
      <rPr>
        <sz val="11"/>
        <color theme="1"/>
        <rFont val="Calibri"/>
        <family val="2"/>
        <scheme val="minor"/>
      </rPr>
      <t xml:space="preserve"> - Hotel restauraunt</t>
    </r>
  </si>
  <si>
    <t>R0004a</t>
  </si>
  <si>
    <t>Meal - Dinner</t>
  </si>
  <si>
    <t>R004a</t>
  </si>
  <si>
    <t>1)  Travel to and from Seattle charged at 50% of agreed hourly rate</t>
  </si>
  <si>
    <t xml:space="preserve">Itinerary and Charges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</si>
</sst>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.00"/>
    <numFmt numFmtId="165" formatCode="0.0"/>
  </numFmts>
  <fonts count="17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8"/>
      <name val="Calibri"/>
      <family val="2"/>
      <scheme val="minor"/>
    </font>
    <font>
      <b/>
      <sz val="11"/>
      <color rgb="FF1F4E78"/>
      <name val="Calibri"/>
    </font>
    <font>
      <b/>
      <sz val="11"/>
      <color rgb="FFFFFFFF"/>
      <name val="Calibri"/>
    </font>
    <font>
      <b/>
      <sz val="13"/>
      <color rgb="FFFFFFFF"/>
      <name val="Calibri"/>
    </font>
    <font>
      <b/>
      <sz val="22"/>
      <color rgb="FFFFFFFF"/>
      <name val="Calibri"/>
    </font>
    <font>
      <b/>
      <sz val="18"/>
      <color theme="1"/>
      <name val="Calibri"/>
      <family val="2"/>
      <scheme val="minor"/>
    </font>
    <font>
      <b/>
      <sz val="13"/>
      <color rgb="FFFFFFFF"/>
      <name val="Calibri"/>
      <family val="2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1F4E7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8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1F4E78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 style="medium">
        <color indexed="64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medium">
        <color indexed="64"/>
      </top>
      <bottom style="medium">
        <color indexed="64"/>
      </bottom>
      <diagonal/>
    </border>
    <border>
      <left style="thin">
        <color rgb="FFB7B7B7"/>
      </left>
      <right/>
      <top style="medium">
        <color indexed="64"/>
      </top>
      <bottom style="medium">
        <color indexed="64"/>
      </bottom>
      <diagonal/>
    </border>
    <border>
      <left style="thin">
        <color rgb="FFB7B7B7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rgb="FFB7B7B7"/>
      </right>
      <top style="medium">
        <color indexed="64"/>
      </top>
      <bottom/>
      <diagonal/>
    </border>
    <border>
      <left style="thin">
        <color rgb="FFB7B7B7"/>
      </left>
      <right style="thin">
        <color rgb="FFB7B7B7"/>
      </right>
      <top style="medium">
        <color indexed="64"/>
      </top>
      <bottom/>
      <diagonal/>
    </border>
    <border>
      <left style="thin">
        <color rgb="FFB7B7B7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rgb="FFB7B7B7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rgb="FFB7B7B7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medium">
        <color indexed="64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rgb="FFB7B7B7"/>
      </left>
      <right/>
      <top style="medium">
        <color indexed="64"/>
      </top>
      <bottom style="thin">
        <color rgb="FFB7B7B7"/>
      </bottom>
      <diagonal/>
    </border>
    <border>
      <left/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rgb="FFB7B7B7"/>
      </left>
      <right style="medium">
        <color indexed="64"/>
      </right>
      <top style="medium">
        <color indexed="64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indexed="64"/>
      </right>
      <top style="thin">
        <color rgb="FFB7B7B7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medium">
        <color indexed="64"/>
      </right>
      <top style="thin">
        <color rgb="FFB7B7B7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9" fontId="0" fillId="0" borderId="0" xfId="3" applyFont="1"/>
    <xf numFmtId="44" fontId="0" fillId="0" borderId="0" xfId="2" applyFont="1"/>
    <xf numFmtId="2" fontId="0" fillId="0" borderId="0" xfId="0" applyNumberFormat="1"/>
    <xf numFmtId="44" fontId="0" fillId="0" borderId="9" xfId="2" applyFont="1" applyBorder="1" applyAlignment="1">
      <alignment horizontal="right" vertical="center" wrapText="1"/>
    </xf>
    <xf numFmtId="9" fontId="0" fillId="0" borderId="9" xfId="3" applyFont="1" applyBorder="1" applyAlignment="1">
      <alignment horizontal="right" vertical="center" wrapText="1"/>
    </xf>
    <xf numFmtId="2" fontId="0" fillId="0" borderId="17" xfId="0" applyNumberFormat="1" applyBorder="1" applyAlignment="1">
      <alignment horizontal="right" vertical="center" wrapText="1"/>
    </xf>
    <xf numFmtId="44" fontId="0" fillId="0" borderId="18" xfId="2" applyFont="1" applyBorder="1" applyAlignment="1">
      <alignment horizontal="right" vertical="center" wrapText="1"/>
    </xf>
    <xf numFmtId="2" fontId="0" fillId="0" borderId="19" xfId="0" applyNumberFormat="1" applyBorder="1" applyAlignment="1">
      <alignment horizontal="right" vertical="center" wrapText="1"/>
    </xf>
    <xf numFmtId="44" fontId="0" fillId="0" borderId="20" xfId="2" applyFont="1" applyBorder="1" applyAlignment="1">
      <alignment horizontal="right" vertical="center" wrapText="1"/>
    </xf>
    <xf numFmtId="44" fontId="0" fillId="0" borderId="18" xfId="0" applyNumberFormat="1" applyBorder="1" applyAlignment="1">
      <alignment horizontal="right" vertical="center" wrapText="1"/>
    </xf>
    <xf numFmtId="44" fontId="0" fillId="0" borderId="24" xfId="0" applyNumberFormat="1" applyBorder="1" applyAlignment="1">
      <alignment horizontal="right" vertical="center" wrapText="1"/>
    </xf>
    <xf numFmtId="44" fontId="0" fillId="0" borderId="25" xfId="0" applyNumberFormat="1" applyBorder="1" applyAlignment="1">
      <alignment horizontal="right" vertical="center" wrapText="1"/>
    </xf>
    <xf numFmtId="0" fontId="0" fillId="0" borderId="24" xfId="0" applyBorder="1" applyAlignment="1">
      <alignment vertical="top" wrapText="1"/>
    </xf>
    <xf numFmtId="44" fontId="0" fillId="0" borderId="29" xfId="2" applyFont="1" applyBorder="1" applyAlignment="1">
      <alignment horizontal="right" vertical="center" wrapText="1"/>
    </xf>
    <xf numFmtId="9" fontId="0" fillId="0" borderId="29" xfId="3" applyFont="1" applyBorder="1" applyAlignment="1">
      <alignment horizontal="right" vertical="center" wrapText="1"/>
    </xf>
    <xf numFmtId="44" fontId="0" fillId="0" borderId="30" xfId="0" applyNumberFormat="1" applyBorder="1" applyAlignment="1">
      <alignment horizontal="right" vertical="center" wrapText="1"/>
    </xf>
    <xf numFmtId="44" fontId="0" fillId="0" borderId="11" xfId="0" applyNumberFormat="1" applyBorder="1" applyAlignment="1">
      <alignment horizontal="right" vertical="center" wrapText="1"/>
    </xf>
    <xf numFmtId="0" fontId="0" fillId="0" borderId="11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2" fontId="6" fillId="2" borderId="31" xfId="0" applyNumberFormat="1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44" fontId="6" fillId="2" borderId="33" xfId="2" applyFont="1" applyFill="1" applyBorder="1" applyAlignment="1">
      <alignment horizontal="center" vertical="center" wrapText="1"/>
    </xf>
    <xf numFmtId="44" fontId="6" fillId="2" borderId="32" xfId="2" applyFont="1" applyFill="1" applyBorder="1" applyAlignment="1">
      <alignment horizontal="center" vertical="center" wrapText="1"/>
    </xf>
    <xf numFmtId="9" fontId="6" fillId="2" borderId="32" xfId="3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2" fontId="0" fillId="0" borderId="34" xfId="0" applyNumberFormat="1" applyBorder="1" applyAlignment="1">
      <alignment horizontal="right" vertical="center" wrapText="1"/>
    </xf>
    <xf numFmtId="44" fontId="0" fillId="0" borderId="35" xfId="2" applyFont="1" applyBorder="1" applyAlignment="1">
      <alignment horizontal="right" vertical="center" wrapText="1"/>
    </xf>
    <xf numFmtId="44" fontId="0" fillId="0" borderId="36" xfId="2" applyFont="1" applyBorder="1" applyAlignment="1">
      <alignment horizontal="right" vertical="center" wrapText="1"/>
    </xf>
    <xf numFmtId="0" fontId="0" fillId="0" borderId="35" xfId="0" applyBorder="1" applyAlignment="1">
      <alignment horizontal="right" vertical="center" wrapText="1"/>
    </xf>
    <xf numFmtId="9" fontId="0" fillId="0" borderId="35" xfId="3" applyFont="1" applyBorder="1" applyAlignment="1">
      <alignment horizontal="right" vertical="center" wrapText="1"/>
    </xf>
    <xf numFmtId="44" fontId="0" fillId="0" borderId="36" xfId="0" applyNumberFormat="1" applyBorder="1" applyAlignment="1">
      <alignment horizontal="right" vertical="center" wrapText="1"/>
    </xf>
    <xf numFmtId="44" fontId="0" fillId="0" borderId="27" xfId="0" applyNumberFormat="1" applyBorder="1" applyAlignment="1">
      <alignment horizontal="right" vertical="center" wrapText="1"/>
    </xf>
    <xf numFmtId="0" fontId="0" fillId="0" borderId="7" xfId="0" applyBorder="1" applyAlignment="1">
      <alignment vertical="top" wrapText="1"/>
    </xf>
    <xf numFmtId="2" fontId="0" fillId="0" borderId="37" xfId="0" applyNumberFormat="1" applyBorder="1" applyAlignment="1">
      <alignment horizontal="right" vertical="center" wrapText="1"/>
    </xf>
    <xf numFmtId="44" fontId="0" fillId="0" borderId="38" xfId="2" applyFont="1" applyBorder="1" applyAlignment="1">
      <alignment horizontal="right" vertical="center" wrapText="1"/>
    </xf>
    <xf numFmtId="44" fontId="0" fillId="0" borderId="39" xfId="2" applyFont="1" applyBorder="1" applyAlignment="1">
      <alignment horizontal="right" vertical="center" wrapText="1"/>
    </xf>
    <xf numFmtId="0" fontId="0" fillId="0" borderId="38" xfId="0" applyBorder="1" applyAlignment="1">
      <alignment horizontal="right" vertical="center" wrapText="1"/>
    </xf>
    <xf numFmtId="9" fontId="0" fillId="0" borderId="38" xfId="3" applyFont="1" applyBorder="1" applyAlignment="1">
      <alignment horizontal="right" vertical="center" wrapText="1"/>
    </xf>
    <xf numFmtId="44" fontId="0" fillId="0" borderId="39" xfId="0" applyNumberFormat="1" applyBorder="1" applyAlignment="1">
      <alignment horizontal="right" vertical="center" wrapText="1"/>
    </xf>
    <xf numFmtId="44" fontId="0" fillId="0" borderId="7" xfId="0" applyNumberFormat="1" applyBorder="1" applyAlignment="1">
      <alignment horizontal="right" vertical="center" wrapText="1"/>
    </xf>
    <xf numFmtId="0" fontId="3" fillId="4" borderId="2" xfId="0" applyFont="1" applyFill="1" applyBorder="1"/>
    <xf numFmtId="2" fontId="3" fillId="4" borderId="40" xfId="0" applyNumberFormat="1" applyFont="1" applyFill="1" applyBorder="1"/>
    <xf numFmtId="0" fontId="3" fillId="4" borderId="41" xfId="0" applyFont="1" applyFill="1" applyBorder="1"/>
    <xf numFmtId="44" fontId="3" fillId="4" borderId="2" xfId="0" applyNumberFormat="1" applyFont="1" applyFill="1" applyBorder="1"/>
    <xf numFmtId="44" fontId="3" fillId="4" borderId="41" xfId="2" applyFont="1" applyFill="1" applyBorder="1"/>
    <xf numFmtId="9" fontId="3" fillId="4" borderId="41" xfId="3" applyFont="1" applyFill="1" applyBorder="1"/>
    <xf numFmtId="0" fontId="3" fillId="4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2" fontId="0" fillId="5" borderId="28" xfId="0" applyNumberFormat="1" applyFill="1" applyBorder="1" applyAlignment="1">
      <alignment horizontal="right" vertical="center" wrapText="1"/>
    </xf>
    <xf numFmtId="0" fontId="0" fillId="5" borderId="29" xfId="0" applyFill="1" applyBorder="1" applyAlignment="1">
      <alignment horizontal="right" vertical="center" wrapText="1"/>
    </xf>
    <xf numFmtId="44" fontId="0" fillId="5" borderId="29" xfId="2" applyFont="1" applyFill="1" applyBorder="1" applyAlignment="1">
      <alignment horizontal="right" vertical="center" wrapText="1"/>
    </xf>
    <xf numFmtId="2" fontId="0" fillId="5" borderId="17" xfId="0" applyNumberFormat="1" applyFill="1" applyBorder="1" applyAlignment="1">
      <alignment horizontal="right" vertical="center" wrapText="1"/>
    </xf>
    <xf numFmtId="0" fontId="0" fillId="5" borderId="9" xfId="0" applyFill="1" applyBorder="1" applyAlignment="1">
      <alignment horizontal="right" vertical="center" wrapText="1"/>
    </xf>
    <xf numFmtId="44" fontId="0" fillId="5" borderId="9" xfId="2" applyFont="1" applyFill="1" applyBorder="1" applyAlignment="1">
      <alignment horizontal="right" vertical="center" wrapText="1"/>
    </xf>
    <xf numFmtId="2" fontId="0" fillId="5" borderId="19" xfId="0" applyNumberFormat="1" applyFill="1" applyBorder="1" applyAlignment="1">
      <alignment horizontal="right" vertical="center" wrapText="1"/>
    </xf>
    <xf numFmtId="0" fontId="0" fillId="5" borderId="12" xfId="0" applyFill="1" applyBorder="1" applyAlignment="1">
      <alignment horizontal="right" vertical="center" wrapText="1"/>
    </xf>
    <xf numFmtId="44" fontId="0" fillId="5" borderId="12" xfId="2" applyFont="1" applyFill="1" applyBorder="1" applyAlignment="1">
      <alignment horizontal="right" vertical="center" wrapText="1"/>
    </xf>
    <xf numFmtId="9" fontId="0" fillId="5" borderId="9" xfId="3" applyFont="1" applyFill="1" applyBorder="1" applyAlignment="1">
      <alignment horizontal="right" vertical="center" wrapText="1"/>
    </xf>
    <xf numFmtId="44" fontId="0" fillId="5" borderId="18" xfId="0" applyNumberFormat="1" applyFill="1" applyBorder="1" applyAlignment="1">
      <alignment horizontal="right" vertical="center" wrapText="1"/>
    </xf>
    <xf numFmtId="44" fontId="0" fillId="5" borderId="24" xfId="0" applyNumberFormat="1" applyFill="1" applyBorder="1" applyAlignment="1">
      <alignment horizontal="right" vertical="center" wrapText="1"/>
    </xf>
    <xf numFmtId="0" fontId="0" fillId="5" borderId="24" xfId="0" applyFill="1" applyBorder="1" applyAlignment="1">
      <alignment horizontal="center" vertical="center" wrapText="1"/>
    </xf>
    <xf numFmtId="9" fontId="0" fillId="5" borderId="12" xfId="3" applyFont="1" applyFill="1" applyBorder="1" applyAlignment="1">
      <alignment horizontal="right" vertical="center" wrapText="1"/>
    </xf>
    <xf numFmtId="44" fontId="0" fillId="5" borderId="20" xfId="0" applyNumberFormat="1" applyFill="1" applyBorder="1" applyAlignment="1">
      <alignment horizontal="right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 wrapText="1"/>
    </xf>
    <xf numFmtId="44" fontId="0" fillId="5" borderId="18" xfId="2" applyFont="1" applyFill="1" applyBorder="1" applyAlignment="1">
      <alignment horizontal="right" vertical="center" wrapText="1"/>
    </xf>
    <xf numFmtId="164" fontId="0" fillId="0" borderId="0" xfId="0" applyNumberFormat="1"/>
    <xf numFmtId="0" fontId="8" fillId="0" borderId="0" xfId="0" applyFont="1" applyAlignment="1">
      <alignment vertical="top" wrapText="1"/>
    </xf>
    <xf numFmtId="164" fontId="9" fillId="6" borderId="42" xfId="0" applyNumberFormat="1" applyFont="1" applyFill="1" applyBorder="1" applyAlignment="1">
      <alignment vertical="top" wrapText="1"/>
    </xf>
    <xf numFmtId="164" fontId="8" fillId="0" borderId="43" xfId="0" applyNumberFormat="1" applyFont="1" applyBorder="1" applyAlignment="1">
      <alignment vertical="top" wrapText="1"/>
    </xf>
    <xf numFmtId="164" fontId="0" fillId="0" borderId="44" xfId="0" applyNumberFormat="1" applyBorder="1" applyAlignment="1">
      <alignment vertical="top" wrapText="1"/>
    </xf>
    <xf numFmtId="0" fontId="0" fillId="0" borderId="44" xfId="0" applyBorder="1" applyAlignment="1">
      <alignment vertical="top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0" fillId="0" borderId="49" xfId="0" applyBorder="1" applyAlignment="1">
      <alignment vertical="top" wrapText="1"/>
    </xf>
    <xf numFmtId="164" fontId="0" fillId="0" borderId="49" xfId="0" applyNumberFormat="1" applyBorder="1" applyAlignment="1">
      <alignment vertical="top" wrapText="1"/>
    </xf>
    <xf numFmtId="164" fontId="1" fillId="3" borderId="53" xfId="0" applyNumberFormat="1" applyFont="1" applyFill="1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3" fillId="4" borderId="4" xfId="0" applyFont="1" applyFill="1" applyBorder="1" applyAlignment="1">
      <alignment wrapText="1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44" fontId="14" fillId="0" borderId="35" xfId="2" applyFont="1" applyBorder="1" applyAlignment="1">
      <alignment horizontal="right" vertical="center" wrapText="1"/>
    </xf>
    <xf numFmtId="44" fontId="14" fillId="0" borderId="9" xfId="2" applyFont="1" applyBorder="1" applyAlignment="1">
      <alignment horizontal="right" vertical="center" wrapText="1"/>
    </xf>
    <xf numFmtId="44" fontId="14" fillId="0" borderId="12" xfId="2" applyFont="1" applyBorder="1" applyAlignment="1">
      <alignment horizontal="right" vertical="center" wrapText="1"/>
    </xf>
    <xf numFmtId="44" fontId="14" fillId="0" borderId="38" xfId="2" applyFont="1" applyBorder="1" applyAlignment="1">
      <alignment horizontal="right" vertical="center" wrapText="1"/>
    </xf>
    <xf numFmtId="165" fontId="1" fillId="3" borderId="51" xfId="0" applyNumberFormat="1" applyFont="1" applyFill="1" applyBorder="1" applyAlignment="1">
      <alignment horizontal="center" vertical="top" wrapText="1"/>
    </xf>
    <xf numFmtId="44" fontId="1" fillId="3" borderId="53" xfId="2" applyFont="1" applyFill="1" applyBorder="1" applyAlignment="1">
      <alignment vertical="top" wrapText="1"/>
    </xf>
    <xf numFmtId="0" fontId="1" fillId="7" borderId="58" xfId="0" applyFont="1" applyFill="1" applyBorder="1" applyAlignment="1">
      <alignment horizontal="center" vertical="center" wrapText="1"/>
    </xf>
    <xf numFmtId="0" fontId="1" fillId="7" borderId="59" xfId="0" applyFont="1" applyFill="1" applyBorder="1" applyAlignment="1">
      <alignment horizontal="center" vertical="center" wrapText="1"/>
    </xf>
    <xf numFmtId="0" fontId="4" fillId="7" borderId="60" xfId="0" applyFont="1" applyFill="1" applyBorder="1" applyAlignment="1">
      <alignment horizontal="center" vertical="center" wrapText="1"/>
    </xf>
    <xf numFmtId="2" fontId="0" fillId="0" borderId="57" xfId="0" applyNumberFormat="1" applyBorder="1" applyAlignment="1">
      <alignment horizontal="center" vertical="center" wrapText="1"/>
    </xf>
    <xf numFmtId="14" fontId="0" fillId="0" borderId="61" xfId="0" applyNumberFormat="1" applyBorder="1" applyAlignment="1">
      <alignment horizontal="center" vertical="center" wrapText="1"/>
    </xf>
    <xf numFmtId="44" fontId="0" fillId="0" borderId="62" xfId="2" applyFont="1" applyBorder="1" applyAlignment="1">
      <alignment horizontal="center" vertical="center" wrapText="1"/>
    </xf>
    <xf numFmtId="14" fontId="0" fillId="0" borderId="63" xfId="0" applyNumberFormat="1" applyBorder="1" applyAlignment="1">
      <alignment horizontal="center" vertical="center" wrapText="1"/>
    </xf>
    <xf numFmtId="2" fontId="0" fillId="0" borderId="64" xfId="0" applyNumberFormat="1" applyBorder="1" applyAlignment="1">
      <alignment horizontal="center" vertical="center" wrapText="1"/>
    </xf>
    <xf numFmtId="44" fontId="0" fillId="0" borderId="65" xfId="2" applyFont="1" applyBorder="1" applyAlignment="1">
      <alignment horizontal="center" vertical="center" wrapText="1"/>
    </xf>
    <xf numFmtId="44" fontId="0" fillId="0" borderId="57" xfId="0" applyNumberFormat="1" applyBorder="1"/>
    <xf numFmtId="44" fontId="0" fillId="0" borderId="64" xfId="0" applyNumberFormat="1" applyBorder="1"/>
    <xf numFmtId="44" fontId="1" fillId="3" borderId="52" xfId="0" applyNumberFormat="1" applyFont="1" applyFill="1" applyBorder="1"/>
    <xf numFmtId="0" fontId="0" fillId="0" borderId="76" xfId="0" applyBorder="1" applyAlignment="1">
      <alignment vertical="top" wrapText="1"/>
    </xf>
    <xf numFmtId="0" fontId="0" fillId="0" borderId="56" xfId="0" applyBorder="1" applyAlignment="1">
      <alignment vertical="top" wrapText="1"/>
    </xf>
    <xf numFmtId="164" fontId="0" fillId="0" borderId="56" xfId="0" applyNumberFormat="1" applyBorder="1" applyAlignment="1">
      <alignment vertical="top" wrapText="1"/>
    </xf>
    <xf numFmtId="164" fontId="0" fillId="0" borderId="79" xfId="0" applyNumberFormat="1" applyBorder="1" applyAlignment="1">
      <alignment vertical="top" wrapText="1"/>
    </xf>
    <xf numFmtId="0" fontId="0" fillId="0" borderId="80" xfId="0" applyBorder="1" applyAlignment="1">
      <alignment vertical="top" wrapText="1"/>
    </xf>
    <xf numFmtId="164" fontId="0" fillId="0" borderId="81" xfId="0" applyNumberFormat="1" applyBorder="1" applyAlignment="1">
      <alignment vertical="top" wrapText="1"/>
    </xf>
    <xf numFmtId="0" fontId="0" fillId="0" borderId="82" xfId="0" applyBorder="1" applyAlignment="1">
      <alignment vertical="top" wrapText="1"/>
    </xf>
    <xf numFmtId="164" fontId="0" fillId="0" borderId="83" xfId="0" applyNumberFormat="1" applyBorder="1" applyAlignment="1">
      <alignment vertical="top" wrapText="1"/>
    </xf>
    <xf numFmtId="164" fontId="1" fillId="3" borderId="51" xfId="0" applyNumberFormat="1" applyFont="1" applyFill="1" applyBorder="1" applyAlignment="1">
      <alignment vertical="top" wrapText="1"/>
    </xf>
    <xf numFmtId="0" fontId="1" fillId="7" borderId="49" xfId="0" applyFont="1" applyFill="1" applyBorder="1" applyAlignment="1">
      <alignment horizontal="center" vertical="center" wrapText="1"/>
    </xf>
    <xf numFmtId="164" fontId="1" fillId="7" borderId="49" xfId="0" applyNumberFormat="1" applyFont="1" applyFill="1" applyBorder="1" applyAlignment="1">
      <alignment horizontal="center" vertical="center" wrapText="1"/>
    </xf>
    <xf numFmtId="0" fontId="4" fillId="7" borderId="44" xfId="0" applyFont="1" applyFill="1" applyBorder="1" applyAlignment="1">
      <alignment horizontal="center" vertical="center" wrapText="1"/>
    </xf>
    <xf numFmtId="164" fontId="4" fillId="7" borderId="44" xfId="0" applyNumberFormat="1" applyFont="1" applyFill="1" applyBorder="1" applyAlignment="1">
      <alignment horizontal="center" vertical="center" wrapText="1"/>
    </xf>
    <xf numFmtId="164" fontId="1" fillId="7" borderId="44" xfId="0" applyNumberFormat="1" applyFont="1" applyFill="1" applyBorder="1" applyAlignment="1">
      <alignment horizontal="center" vertical="center" wrapText="1"/>
    </xf>
    <xf numFmtId="43" fontId="0" fillId="0" borderId="44" xfId="1" applyFont="1" applyBorder="1" applyAlignment="1">
      <alignment vertical="top" wrapText="1"/>
    </xf>
    <xf numFmtId="43" fontId="1" fillId="3" borderId="51" xfId="1" applyFont="1" applyFill="1" applyBorder="1" applyAlignment="1">
      <alignment vertical="top" wrapText="1"/>
    </xf>
    <xf numFmtId="0" fontId="4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43" fontId="1" fillId="0" borderId="0" xfId="1" applyFont="1" applyFill="1" applyBorder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8" fillId="0" borderId="0" xfId="0" applyFont="1" applyAlignment="1">
      <alignment horizontal="right" vertical="center" wrapText="1"/>
    </xf>
    <xf numFmtId="0" fontId="0" fillId="0" borderId="84" xfId="0" applyBorder="1"/>
    <xf numFmtId="0" fontId="0" fillId="0" borderId="85" xfId="0" applyBorder="1"/>
    <xf numFmtId="0" fontId="0" fillId="0" borderId="86" xfId="0" applyBorder="1"/>
    <xf numFmtId="0" fontId="0" fillId="0" borderId="22" xfId="0" applyBorder="1"/>
    <xf numFmtId="0" fontId="0" fillId="0" borderId="87" xfId="0" applyBorder="1"/>
    <xf numFmtId="0" fontId="0" fillId="0" borderId="0" xfId="0" applyAlignment="1">
      <alignment vertical="top"/>
    </xf>
    <xf numFmtId="2" fontId="5" fillId="4" borderId="10" xfId="0" applyNumberFormat="1" applyFont="1" applyFill="1" applyBorder="1" applyAlignment="1">
      <alignment horizontal="center" vertical="center" wrapText="1"/>
    </xf>
    <xf numFmtId="2" fontId="5" fillId="4" borderId="8" xfId="0" applyNumberFormat="1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top" wrapText="1"/>
    </xf>
    <xf numFmtId="0" fontId="15" fillId="0" borderId="21" xfId="0" applyFont="1" applyBorder="1" applyAlignment="1">
      <alignment horizontal="left" vertical="top" wrapText="1"/>
    </xf>
    <xf numFmtId="2" fontId="5" fillId="4" borderId="4" xfId="0" applyNumberFormat="1" applyFont="1" applyFill="1" applyBorder="1" applyAlignment="1">
      <alignment horizontal="center" vertical="center"/>
    </xf>
    <xf numFmtId="2" fontId="5" fillId="4" borderId="5" xfId="0" applyNumberFormat="1" applyFont="1" applyFill="1" applyBorder="1" applyAlignment="1">
      <alignment horizontal="center" vertical="center"/>
    </xf>
    <xf numFmtId="2" fontId="5" fillId="4" borderId="6" xfId="0" applyNumberFormat="1" applyFont="1" applyFill="1" applyBorder="1" applyAlignment="1">
      <alignment horizontal="center" vertical="center"/>
    </xf>
    <xf numFmtId="2" fontId="0" fillId="0" borderId="28" xfId="0" applyNumberFormat="1" applyBorder="1" applyAlignment="1">
      <alignment horizontal="right" vertical="center" wrapText="1"/>
    </xf>
    <xf numFmtId="2" fontId="0" fillId="0" borderId="17" xfId="0" applyNumberFormat="1" applyBorder="1" applyAlignment="1">
      <alignment horizontal="right" vertical="center" wrapText="1"/>
    </xf>
    <xf numFmtId="44" fontId="14" fillId="0" borderId="29" xfId="2" applyFont="1" applyBorder="1" applyAlignment="1">
      <alignment horizontal="right" vertical="center" wrapText="1"/>
    </xf>
    <xf numFmtId="44" fontId="14" fillId="0" borderId="9" xfId="2" applyFont="1" applyBorder="1" applyAlignment="1">
      <alignment horizontal="right" vertical="center" wrapText="1"/>
    </xf>
    <xf numFmtId="44" fontId="0" fillId="0" borderId="30" xfId="2" applyFont="1" applyBorder="1" applyAlignment="1">
      <alignment horizontal="right" vertical="center" wrapText="1"/>
    </xf>
    <xf numFmtId="44" fontId="0" fillId="0" borderId="18" xfId="2" applyFont="1" applyBorder="1" applyAlignment="1">
      <alignment horizontal="right" vertical="center" wrapText="1"/>
    </xf>
    <xf numFmtId="0" fontId="11" fillId="6" borderId="0" xfId="0" applyFont="1" applyFill="1" applyAlignment="1">
      <alignment horizontal="center" vertical="center" wrapText="1"/>
    </xf>
    <xf numFmtId="0" fontId="0" fillId="0" borderId="15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43" xfId="0" applyBorder="1" applyAlignment="1">
      <alignment horizontal="left" vertical="top" wrapText="1"/>
    </xf>
    <xf numFmtId="0" fontId="0" fillId="0" borderId="46" xfId="0" applyBorder="1" applyAlignment="1">
      <alignment horizontal="left" vertical="top" wrapText="1"/>
    </xf>
    <xf numFmtId="0" fontId="4" fillId="3" borderId="4" xfId="0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horizontal="right" vertical="center" wrapText="1"/>
    </xf>
    <xf numFmtId="0" fontId="1" fillId="3" borderId="50" xfId="0" applyFont="1" applyFill="1" applyBorder="1" applyAlignment="1">
      <alignment horizontal="right" vertical="center" wrapText="1"/>
    </xf>
    <xf numFmtId="164" fontId="8" fillId="0" borderId="0" xfId="0" applyNumberFormat="1" applyFont="1" applyAlignment="1">
      <alignment horizontal="right" vertical="top" wrapText="1"/>
    </xf>
    <xf numFmtId="164" fontId="16" fillId="0" borderId="0" xfId="0" applyNumberFormat="1" applyFont="1" applyAlignment="1">
      <alignment horizontal="right" vertical="top" wrapText="1"/>
    </xf>
    <xf numFmtId="0" fontId="0" fillId="0" borderId="74" xfId="0" applyBorder="1" applyAlignment="1">
      <alignment horizontal="left" vertical="top" wrapText="1"/>
    </xf>
    <xf numFmtId="0" fontId="0" fillId="0" borderId="75" xfId="0" applyBorder="1" applyAlignment="1">
      <alignment horizontal="left" vertical="top" wrapText="1"/>
    </xf>
    <xf numFmtId="0" fontId="4" fillId="7" borderId="45" xfId="0" applyFont="1" applyFill="1" applyBorder="1" applyAlignment="1">
      <alignment horizontal="center" vertical="center" wrapText="1"/>
    </xf>
    <xf numFmtId="0" fontId="1" fillId="7" borderId="43" xfId="0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horizontal="center" vertical="center" wrapText="1"/>
    </xf>
    <xf numFmtId="0" fontId="13" fillId="6" borderId="73" xfId="0" applyFont="1" applyFill="1" applyBorder="1" applyAlignment="1">
      <alignment vertical="top" wrapText="1"/>
    </xf>
    <xf numFmtId="0" fontId="0" fillId="0" borderId="77" xfId="0" applyBorder="1" applyAlignment="1">
      <alignment horizontal="left" vertical="top" wrapText="1"/>
    </xf>
    <xf numFmtId="0" fontId="0" fillId="0" borderId="78" xfId="0" applyBorder="1" applyAlignment="1">
      <alignment horizontal="left" vertical="top" wrapText="1"/>
    </xf>
    <xf numFmtId="0" fontId="1" fillId="7" borderId="47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164" fontId="0" fillId="0" borderId="47" xfId="0" applyNumberFormat="1" applyBorder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164" fontId="0" fillId="0" borderId="48" xfId="0" applyNumberFormat="1" applyBorder="1" applyAlignment="1">
      <alignment horizontal="left" vertical="top" wrapText="1"/>
    </xf>
    <xf numFmtId="0" fontId="10" fillId="6" borderId="0" xfId="0" applyFont="1" applyFill="1" applyAlignment="1">
      <alignment vertical="top" wrapText="1"/>
    </xf>
    <xf numFmtId="0" fontId="0" fillId="0" borderId="0" xfId="0"/>
    <xf numFmtId="164" fontId="0" fillId="0" borderId="0" xfId="0" applyNumberFormat="1"/>
    <xf numFmtId="0" fontId="1" fillId="7" borderId="66" xfId="0" applyFont="1" applyFill="1" applyBorder="1" applyAlignment="1">
      <alignment horizontal="center" vertical="center" wrapText="1"/>
    </xf>
    <xf numFmtId="0" fontId="1" fillId="7" borderId="54" xfId="0" applyFont="1" applyFill="1" applyBorder="1" applyAlignment="1">
      <alignment horizontal="center" vertical="center" wrapText="1"/>
    </xf>
    <xf numFmtId="0" fontId="1" fillId="7" borderId="67" xfId="0" applyFont="1" applyFill="1" applyBorder="1" applyAlignment="1">
      <alignment horizontal="center" vertical="center" wrapText="1"/>
    </xf>
    <xf numFmtId="0" fontId="0" fillId="0" borderId="68" xfId="0" applyBorder="1" applyAlignment="1">
      <alignment horizontal="left" vertical="center" wrapText="1"/>
    </xf>
    <xf numFmtId="0" fontId="0" fillId="0" borderId="69" xfId="0" applyBorder="1" applyAlignment="1">
      <alignment horizontal="left" vertical="center" wrapText="1"/>
    </xf>
    <xf numFmtId="0" fontId="0" fillId="0" borderId="70" xfId="0" applyBorder="1" applyAlignment="1">
      <alignment horizontal="left" vertical="center" wrapText="1"/>
    </xf>
    <xf numFmtId="0" fontId="0" fillId="0" borderId="71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72" xfId="0" applyBorder="1" applyAlignment="1">
      <alignment horizontal="left"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104774</xdr:rowOff>
    </xdr:from>
    <xdr:ext cx="792582" cy="885826"/>
    <xdr:pic>
      <xdr:nvPicPr>
        <xdr:cNvPr id="2" name="Picture 1">
          <a:extLst>
            <a:ext uri="{FF2B5EF4-FFF2-40B4-BE49-F238E27FC236}">
              <a16:creationId xmlns:a16="http://schemas.microsoft.com/office/drawing/2014/main" id="{2F581A29-836A-4BDF-8B37-5FD7B4017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04774"/>
          <a:ext cx="792582" cy="8858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twoCellAnchor editAs="oneCell">
    <xdr:from>
      <xdr:col>5</xdr:col>
      <xdr:colOff>76200</xdr:colOff>
      <xdr:row>3</xdr:row>
      <xdr:rowOff>95250</xdr:rowOff>
    </xdr:from>
    <xdr:to>
      <xdr:col>6</xdr:col>
      <xdr:colOff>714375</xdr:colOff>
      <xdr:row>7</xdr:row>
      <xdr:rowOff>146878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77BB41-D011-430B-14BD-29B7D6C66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86625" y="838200"/>
          <a:ext cx="1571625" cy="927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workbookViewId="0">
      <pane ySplit="1" topLeftCell="A2" activePane="bottomLeft" state="frozen"/>
      <selection pane="bottomLeft" activeCell="J6" sqref="J6"/>
    </sheetView>
  </sheetViews>
  <sheetFormatPr defaultRowHeight="15"/>
  <cols>
    <col min="1" max="1" width="12.28515625" bestFit="1" customWidth="1"/>
    <col min="2" max="2" width="10.42578125" bestFit="1" customWidth="1"/>
    <col min="3" max="3" width="7.7109375" bestFit="1" customWidth="1"/>
    <col min="4" max="4" width="29.85546875" bestFit="1" customWidth="1"/>
    <col min="5" max="5" width="32.85546875" bestFit="1" customWidth="1"/>
    <col min="6" max="6" width="21.7109375" bestFit="1" customWidth="1"/>
    <col min="7" max="7" width="10.42578125" bestFit="1" customWidth="1"/>
    <col min="8" max="8" width="14.140625" bestFit="1" customWidth="1"/>
    <col min="9" max="9" width="14.85546875" bestFit="1" customWidth="1"/>
    <col min="10" max="10" width="22.28515625" bestFit="1" customWidth="1"/>
    <col min="11" max="11" width="41.85546875" bestFit="1" customWidth="1"/>
    <col min="12" max="12" width="57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5">
      <c r="A2" s="2" t="s">
        <v>124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896.8</v>
      </c>
      <c r="H2" s="3">
        <f t="shared" ref="H2:H10" si="0">ROUND(G2*15%,2)</f>
        <v>134.52000000000001</v>
      </c>
      <c r="I2" s="3">
        <f t="shared" ref="I2:I10" si="1">G2+H2</f>
        <v>1031.32</v>
      </c>
      <c r="J2" s="2" t="s">
        <v>18</v>
      </c>
      <c r="K2" s="2" t="s">
        <v>19</v>
      </c>
      <c r="L2" s="2" t="s">
        <v>20</v>
      </c>
    </row>
    <row r="3" spans="1:12" ht="45">
      <c r="A3" s="2" t="s">
        <v>125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3">
        <v>18.72</v>
      </c>
      <c r="H3" s="3">
        <f t="shared" si="0"/>
        <v>2.81</v>
      </c>
      <c r="I3" s="3">
        <f t="shared" si="1"/>
        <v>21.529999999999998</v>
      </c>
      <c r="J3" s="2" t="s">
        <v>27</v>
      </c>
      <c r="K3" s="2" t="s">
        <v>28</v>
      </c>
      <c r="L3" s="2" t="s">
        <v>29</v>
      </c>
    </row>
    <row r="4" spans="1:12" ht="30">
      <c r="A4" s="2" t="s">
        <v>126</v>
      </c>
      <c r="B4" s="2" t="s">
        <v>22</v>
      </c>
      <c r="C4" s="2" t="s">
        <v>31</v>
      </c>
      <c r="D4" s="2" t="s">
        <v>32</v>
      </c>
      <c r="E4" s="2" t="s">
        <v>33</v>
      </c>
      <c r="F4" s="2" t="s">
        <v>34</v>
      </c>
      <c r="G4" s="3">
        <v>23.23</v>
      </c>
      <c r="H4" s="3">
        <f t="shared" si="0"/>
        <v>3.48</v>
      </c>
      <c r="I4" s="3">
        <f t="shared" si="1"/>
        <v>26.71</v>
      </c>
      <c r="J4" s="2" t="s">
        <v>27</v>
      </c>
      <c r="K4" s="2" t="s">
        <v>35</v>
      </c>
      <c r="L4" s="2" t="s">
        <v>36</v>
      </c>
    </row>
    <row r="5" spans="1:12" ht="45">
      <c r="A5" s="2" t="s">
        <v>127</v>
      </c>
      <c r="B5" s="2" t="s">
        <v>22</v>
      </c>
      <c r="C5" s="2" t="s">
        <v>46</v>
      </c>
      <c r="D5" s="2" t="s">
        <v>47</v>
      </c>
      <c r="E5" s="2" t="s">
        <v>48</v>
      </c>
      <c r="F5" s="2" t="s">
        <v>49</v>
      </c>
      <c r="G5" s="3">
        <v>209.3</v>
      </c>
      <c r="H5" s="3">
        <f t="shared" si="0"/>
        <v>31.4</v>
      </c>
      <c r="I5" s="3">
        <f t="shared" si="1"/>
        <v>240.70000000000002</v>
      </c>
      <c r="J5" s="2" t="s">
        <v>50</v>
      </c>
      <c r="K5" s="2" t="s">
        <v>51</v>
      </c>
      <c r="L5" s="2" t="s">
        <v>52</v>
      </c>
    </row>
    <row r="6" spans="1:12" ht="30">
      <c r="A6" s="2" t="s">
        <v>172</v>
      </c>
      <c r="B6" s="2" t="s">
        <v>22</v>
      </c>
      <c r="C6" s="2" t="s">
        <v>46</v>
      </c>
      <c r="D6" s="2" t="s">
        <v>47</v>
      </c>
      <c r="E6" s="2" t="s">
        <v>48</v>
      </c>
      <c r="F6" s="2" t="s">
        <v>173</v>
      </c>
      <c r="G6" s="3">
        <v>25</v>
      </c>
      <c r="H6" s="3">
        <f t="shared" si="0"/>
        <v>3.75</v>
      </c>
      <c r="I6" s="3">
        <f t="shared" si="1"/>
        <v>28.75</v>
      </c>
      <c r="J6" s="2"/>
      <c r="K6" s="2"/>
      <c r="L6" s="2"/>
    </row>
    <row r="7" spans="1:12" ht="45">
      <c r="A7" s="2" t="s">
        <v>128</v>
      </c>
      <c r="B7" s="2" t="s">
        <v>22</v>
      </c>
      <c r="C7" s="2" t="s">
        <v>38</v>
      </c>
      <c r="D7" s="2" t="s">
        <v>39</v>
      </c>
      <c r="E7" s="2" t="s">
        <v>40</v>
      </c>
      <c r="F7" s="2" t="s">
        <v>41</v>
      </c>
      <c r="G7" s="3">
        <v>307.77</v>
      </c>
      <c r="H7" s="3">
        <f t="shared" si="0"/>
        <v>46.17</v>
      </c>
      <c r="I7" s="3">
        <f t="shared" si="1"/>
        <v>353.94</v>
      </c>
      <c r="J7" s="2" t="s">
        <v>42</v>
      </c>
      <c r="K7" s="2" t="s">
        <v>43</v>
      </c>
      <c r="L7" s="2" t="s">
        <v>44</v>
      </c>
    </row>
    <row r="8" spans="1:12" ht="30">
      <c r="A8" s="2" t="s">
        <v>129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3">
        <v>45.42</v>
      </c>
      <c r="H8" s="3">
        <f t="shared" si="0"/>
        <v>6.81</v>
      </c>
      <c r="I8" s="3">
        <f t="shared" si="1"/>
        <v>52.230000000000004</v>
      </c>
      <c r="J8" s="2" t="s">
        <v>27</v>
      </c>
      <c r="K8" s="2" t="s">
        <v>59</v>
      </c>
      <c r="L8" s="2" t="s">
        <v>60</v>
      </c>
    </row>
    <row r="9" spans="1:12" ht="30">
      <c r="A9" s="2" t="s">
        <v>130</v>
      </c>
      <c r="B9" s="2" t="s">
        <v>54</v>
      </c>
      <c r="C9" s="2" t="s">
        <v>62</v>
      </c>
      <c r="D9" s="2" t="s">
        <v>63</v>
      </c>
      <c r="E9" s="2" t="s">
        <v>64</v>
      </c>
      <c r="F9" s="2" t="s">
        <v>65</v>
      </c>
      <c r="G9" s="3">
        <v>15.24</v>
      </c>
      <c r="H9" s="3">
        <f t="shared" si="0"/>
        <v>2.29</v>
      </c>
      <c r="I9" s="3">
        <f t="shared" si="1"/>
        <v>17.53</v>
      </c>
      <c r="J9" s="2" t="s">
        <v>27</v>
      </c>
      <c r="K9" s="2" t="s">
        <v>66</v>
      </c>
      <c r="L9" s="2" t="s">
        <v>67</v>
      </c>
    </row>
    <row r="10" spans="1:12" ht="30">
      <c r="A10" s="2" t="s">
        <v>131</v>
      </c>
      <c r="B10" s="2" t="s">
        <v>54</v>
      </c>
      <c r="C10" s="2" t="s">
        <v>69</v>
      </c>
      <c r="D10" s="2" t="s">
        <v>70</v>
      </c>
      <c r="E10" s="2" t="s">
        <v>70</v>
      </c>
      <c r="F10" s="2" t="s">
        <v>71</v>
      </c>
      <c r="G10" s="3">
        <v>46</v>
      </c>
      <c r="H10" s="3">
        <f t="shared" si="0"/>
        <v>6.9</v>
      </c>
      <c r="I10" s="3">
        <f t="shared" si="1"/>
        <v>52.9</v>
      </c>
      <c r="J10" s="2" t="s">
        <v>72</v>
      </c>
      <c r="K10" s="2" t="s">
        <v>73</v>
      </c>
      <c r="L10" s="2" t="s">
        <v>74</v>
      </c>
    </row>
  </sheetData>
  <autoFilter ref="A1:L10" xr:uid="{00000000-0009-0000-0000-000000000000}">
    <sortState xmlns:xlrd2="http://schemas.microsoft.com/office/spreadsheetml/2017/richdata2" ref="A2:L10">
      <sortCondition ref="B1:B10"/>
    </sortState>
  </autoFilter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3"/>
  <sheetViews>
    <sheetView showGridLines="0" workbookViewId="0">
      <pane ySplit="3" topLeftCell="A4" activePane="bottomLeft" state="frozen"/>
      <selection pane="bottomLeft" sqref="A1:N23"/>
    </sheetView>
  </sheetViews>
  <sheetFormatPr defaultRowHeight="15"/>
  <cols>
    <col min="1" max="1" width="23" bestFit="1" customWidth="1"/>
    <col min="2" max="2" width="43.5703125" style="51" customWidth="1"/>
    <col min="3" max="3" width="13.7109375" style="51" customWidth="1"/>
    <col min="4" max="4" width="8.42578125" style="6" bestFit="1" customWidth="1"/>
    <col min="5" max="5" width="9.5703125" bestFit="1" customWidth="1"/>
    <col min="6" max="6" width="10.42578125" style="5" bestFit="1" customWidth="1"/>
    <col min="7" max="7" width="10" style="6" bestFit="1" customWidth="1"/>
    <col min="8" max="8" width="9.7109375" bestFit="1" customWidth="1"/>
    <col min="9" max="9" width="10.5703125" style="5" bestFit="1" customWidth="1"/>
    <col min="10" max="10" width="12.85546875" style="5" bestFit="1" customWidth="1"/>
    <col min="11" max="11" width="13.28515625" style="4" bestFit="1" customWidth="1"/>
    <col min="12" max="12" width="10.5703125" bestFit="1" customWidth="1"/>
    <col min="13" max="13" width="14.28515625" bestFit="1" customWidth="1"/>
    <col min="14" max="14" width="12.28515625" bestFit="1" customWidth="1"/>
  </cols>
  <sheetData>
    <row r="1" spans="1:14" ht="24" thickBot="1">
      <c r="A1" s="145" t="s">
        <v>176</v>
      </c>
      <c r="B1" s="145"/>
      <c r="C1" s="84"/>
    </row>
    <row r="2" spans="1:14" ht="24" thickBot="1">
      <c r="A2" s="146"/>
      <c r="B2" s="146"/>
      <c r="C2" s="85"/>
      <c r="D2" s="149" t="s">
        <v>109</v>
      </c>
      <c r="E2" s="150"/>
      <c r="F2" s="151"/>
      <c r="G2" s="149" t="s">
        <v>110</v>
      </c>
      <c r="H2" s="150"/>
      <c r="I2" s="150"/>
      <c r="J2" s="150"/>
      <c r="K2" s="150"/>
      <c r="L2" s="151"/>
      <c r="M2" s="141" t="s">
        <v>111</v>
      </c>
      <c r="N2" s="143" t="s">
        <v>76</v>
      </c>
    </row>
    <row r="3" spans="1:14" s="93" customFormat="1" ht="16.5" thickBot="1">
      <c r="A3" s="92" t="s">
        <v>2</v>
      </c>
      <c r="B3" s="92" t="s">
        <v>75</v>
      </c>
      <c r="C3" s="94" t="s">
        <v>152</v>
      </c>
      <c r="D3" s="23" t="s">
        <v>107</v>
      </c>
      <c r="E3" s="24" t="s">
        <v>102</v>
      </c>
      <c r="F3" s="25" t="s">
        <v>108</v>
      </c>
      <c r="G3" s="23" t="s">
        <v>99</v>
      </c>
      <c r="H3" s="24" t="s">
        <v>100</v>
      </c>
      <c r="I3" s="26" t="s">
        <v>102</v>
      </c>
      <c r="J3" s="26" t="s">
        <v>103</v>
      </c>
      <c r="K3" s="27" t="s">
        <v>104</v>
      </c>
      <c r="L3" s="28" t="s">
        <v>108</v>
      </c>
      <c r="M3" s="142"/>
      <c r="N3" s="144"/>
    </row>
    <row r="4" spans="1:14">
      <c r="A4" s="21" t="s">
        <v>77</v>
      </c>
      <c r="B4" s="21" t="s">
        <v>123</v>
      </c>
      <c r="C4" s="95" t="s">
        <v>153</v>
      </c>
      <c r="D4" s="29">
        <v>0.5</v>
      </c>
      <c r="E4" s="96">
        <f>375/2</f>
        <v>187.5</v>
      </c>
      <c r="F4" s="31">
        <f>E4*D4</f>
        <v>93.75</v>
      </c>
      <c r="G4" s="29">
        <v>30</v>
      </c>
      <c r="H4" s="32" t="s">
        <v>101</v>
      </c>
      <c r="I4" s="30">
        <v>0.7</v>
      </c>
      <c r="J4" s="30">
        <f>I4*G4</f>
        <v>21</v>
      </c>
      <c r="K4" s="33">
        <v>0</v>
      </c>
      <c r="L4" s="34">
        <f>J4*(1+K4)</f>
        <v>21</v>
      </c>
      <c r="M4" s="35">
        <f>L4+F4</f>
        <v>114.75</v>
      </c>
      <c r="N4" s="72"/>
    </row>
    <row r="5" spans="1:14" ht="30">
      <c r="A5" s="16" t="s">
        <v>78</v>
      </c>
      <c r="B5" s="16" t="s">
        <v>79</v>
      </c>
      <c r="C5" s="95" t="s">
        <v>153</v>
      </c>
      <c r="D5" s="152">
        <v>5</v>
      </c>
      <c r="E5" s="154">
        <f>E4</f>
        <v>187.5</v>
      </c>
      <c r="F5" s="156">
        <f>E5*D5</f>
        <v>937.5</v>
      </c>
      <c r="G5" s="55"/>
      <c r="H5" s="56"/>
      <c r="I5" s="57"/>
      <c r="J5" s="17">
        <f>Expenses!G3</f>
        <v>18.72</v>
      </c>
      <c r="K5" s="18">
        <v>0.15</v>
      </c>
      <c r="L5" s="19">
        <f t="shared" ref="L5:L17" si="0">J5*(1+K5)</f>
        <v>21.527999999999999</v>
      </c>
      <c r="M5" s="20">
        <f t="shared" ref="M5:M19" si="1">L5+F5</f>
        <v>959.02800000000002</v>
      </c>
      <c r="N5" s="52" t="s">
        <v>125</v>
      </c>
    </row>
    <row r="6" spans="1:14" ht="30">
      <c r="A6" s="16" t="s">
        <v>80</v>
      </c>
      <c r="B6" s="16" t="s">
        <v>81</v>
      </c>
      <c r="C6" s="95" t="s">
        <v>153</v>
      </c>
      <c r="D6" s="153"/>
      <c r="E6" s="155"/>
      <c r="F6" s="157"/>
      <c r="G6" s="58"/>
      <c r="H6" s="59"/>
      <c r="I6" s="60"/>
      <c r="J6" s="7">
        <f>Expenses!G2</f>
        <v>896.8</v>
      </c>
      <c r="K6" s="8">
        <v>0.15</v>
      </c>
      <c r="L6" s="13">
        <f t="shared" si="0"/>
        <v>1031.32</v>
      </c>
      <c r="M6" s="14">
        <f t="shared" si="1"/>
        <v>1031.32</v>
      </c>
      <c r="N6" s="52" t="s">
        <v>124</v>
      </c>
    </row>
    <row r="7" spans="1:14">
      <c r="A7" s="16" t="s">
        <v>82</v>
      </c>
      <c r="B7" s="16" t="s">
        <v>83</v>
      </c>
      <c r="C7" s="95" t="s">
        <v>153</v>
      </c>
      <c r="D7" s="153"/>
      <c r="E7" s="155"/>
      <c r="F7" s="157"/>
      <c r="G7" s="58"/>
      <c r="H7" s="59"/>
      <c r="I7" s="60"/>
      <c r="J7" s="7"/>
      <c r="K7" s="8"/>
      <c r="L7" s="13"/>
      <c r="M7" s="14"/>
      <c r="N7" s="53"/>
    </row>
    <row r="8" spans="1:14" ht="30">
      <c r="A8" s="16" t="s">
        <v>86</v>
      </c>
      <c r="B8" s="16" t="s">
        <v>87</v>
      </c>
      <c r="C8" s="95" t="s">
        <v>153</v>
      </c>
      <c r="D8" s="153"/>
      <c r="E8" s="155"/>
      <c r="F8" s="157"/>
      <c r="G8" s="58"/>
      <c r="H8" s="59"/>
      <c r="I8" s="60"/>
      <c r="J8" s="7">
        <v>23.23</v>
      </c>
      <c r="K8" s="8">
        <v>0.15</v>
      </c>
      <c r="L8" s="13">
        <f>J8*(1+K8)</f>
        <v>26.714499999999997</v>
      </c>
      <c r="M8" s="14">
        <f t="shared" si="1"/>
        <v>26.714499999999997</v>
      </c>
      <c r="N8" s="52" t="s">
        <v>126</v>
      </c>
    </row>
    <row r="9" spans="1:14" ht="30">
      <c r="A9" s="16" t="s">
        <v>84</v>
      </c>
      <c r="B9" s="16" t="s">
        <v>85</v>
      </c>
      <c r="C9" s="95" t="s">
        <v>153</v>
      </c>
      <c r="D9" s="153"/>
      <c r="E9" s="155"/>
      <c r="F9" s="157"/>
      <c r="G9" s="58"/>
      <c r="H9" s="59"/>
      <c r="I9" s="60"/>
      <c r="J9" s="7">
        <f>Expenses!G7</f>
        <v>307.77</v>
      </c>
      <c r="K9" s="8">
        <v>0.15</v>
      </c>
      <c r="L9" s="13">
        <f t="shared" si="0"/>
        <v>353.93549999999993</v>
      </c>
      <c r="M9" s="14">
        <f t="shared" si="1"/>
        <v>353.93549999999993</v>
      </c>
      <c r="N9" s="52" t="s">
        <v>128</v>
      </c>
    </row>
    <row r="10" spans="1:14" ht="30">
      <c r="A10" s="16" t="s">
        <v>88</v>
      </c>
      <c r="B10" s="16" t="s">
        <v>106</v>
      </c>
      <c r="C10" s="95" t="s">
        <v>153</v>
      </c>
      <c r="D10" s="9">
        <v>3.75</v>
      </c>
      <c r="E10" s="7">
        <v>375</v>
      </c>
      <c r="F10" s="10">
        <f>E10*D10</f>
        <v>1406.25</v>
      </c>
      <c r="G10" s="58"/>
      <c r="H10" s="59"/>
      <c r="I10" s="60"/>
      <c r="J10" s="60"/>
      <c r="K10" s="64"/>
      <c r="L10" s="65"/>
      <c r="M10" s="14">
        <f t="shared" si="1"/>
        <v>1406.25</v>
      </c>
      <c r="N10" s="67"/>
    </row>
    <row r="11" spans="1:14" ht="45">
      <c r="A11" s="16" t="s">
        <v>89</v>
      </c>
      <c r="B11" s="16" t="s">
        <v>112</v>
      </c>
      <c r="C11" s="95" t="s">
        <v>153</v>
      </c>
      <c r="D11" s="9">
        <v>1.5</v>
      </c>
      <c r="E11" s="7">
        <v>375</v>
      </c>
      <c r="F11" s="10">
        <f>E11*D11</f>
        <v>562.5</v>
      </c>
      <c r="G11" s="58"/>
      <c r="H11" s="59"/>
      <c r="I11" s="60"/>
      <c r="J11" s="60"/>
      <c r="K11" s="64"/>
      <c r="L11" s="65"/>
      <c r="M11" s="14">
        <f t="shared" si="1"/>
        <v>562.5</v>
      </c>
      <c r="N11" s="67"/>
    </row>
    <row r="12" spans="1:14">
      <c r="A12" s="16" t="s">
        <v>113</v>
      </c>
      <c r="B12" s="16" t="s">
        <v>116</v>
      </c>
      <c r="C12" s="95" t="s">
        <v>153</v>
      </c>
      <c r="D12" s="9">
        <v>0.5</v>
      </c>
      <c r="E12" s="97">
        <f>E4</f>
        <v>187.5</v>
      </c>
      <c r="F12" s="10">
        <f t="shared" ref="F12:F19" si="2">E12*D12</f>
        <v>93.75</v>
      </c>
      <c r="G12" s="58"/>
      <c r="H12" s="59"/>
      <c r="I12" s="60"/>
      <c r="J12" s="60"/>
      <c r="K12" s="64"/>
      <c r="L12" s="65"/>
      <c r="M12" s="14">
        <f t="shared" si="1"/>
        <v>93.75</v>
      </c>
      <c r="N12" s="67"/>
    </row>
    <row r="13" spans="1:14">
      <c r="A13" s="16" t="s">
        <v>114</v>
      </c>
      <c r="B13" s="16" t="s">
        <v>115</v>
      </c>
      <c r="C13" s="95" t="s">
        <v>153</v>
      </c>
      <c r="D13" s="58"/>
      <c r="E13" s="60"/>
      <c r="F13" s="73"/>
      <c r="G13" s="58"/>
      <c r="H13" s="59"/>
      <c r="I13" s="60"/>
      <c r="J13" s="7">
        <f>Expenses!G5</f>
        <v>209.3</v>
      </c>
      <c r="K13" s="8">
        <v>0.15</v>
      </c>
      <c r="L13" s="13">
        <f t="shared" ref="L13" si="3">J13*(1+K13)</f>
        <v>240.69499999999999</v>
      </c>
      <c r="M13" s="14">
        <f t="shared" si="1"/>
        <v>240.69499999999999</v>
      </c>
      <c r="N13" s="52" t="s">
        <v>127</v>
      </c>
    </row>
    <row r="14" spans="1:14">
      <c r="A14" s="16" t="s">
        <v>114</v>
      </c>
      <c r="B14" s="16" t="s">
        <v>117</v>
      </c>
      <c r="C14" s="95" t="s">
        <v>153</v>
      </c>
      <c r="D14" s="58"/>
      <c r="E14" s="60"/>
      <c r="F14" s="73"/>
      <c r="G14" s="58"/>
      <c r="H14" s="59"/>
      <c r="I14" s="60"/>
      <c r="J14" s="7">
        <v>25</v>
      </c>
      <c r="K14" s="8">
        <v>0.15</v>
      </c>
      <c r="L14" s="13">
        <f t="shared" ref="L14" si="4">J14*(1+K14)</f>
        <v>28.749999999999996</v>
      </c>
      <c r="M14" s="14">
        <f t="shared" si="1"/>
        <v>28.749999999999996</v>
      </c>
      <c r="N14" s="71"/>
    </row>
    <row r="15" spans="1:14" ht="30">
      <c r="A15" s="16" t="s">
        <v>90</v>
      </c>
      <c r="B15" s="16" t="s">
        <v>91</v>
      </c>
      <c r="C15" s="95" t="s">
        <v>153</v>
      </c>
      <c r="D15" s="9">
        <v>2.25</v>
      </c>
      <c r="E15" s="7">
        <v>375</v>
      </c>
      <c r="F15" s="10">
        <f t="shared" si="2"/>
        <v>843.75</v>
      </c>
      <c r="G15" s="58"/>
      <c r="H15" s="59"/>
      <c r="I15" s="60"/>
      <c r="J15" s="60"/>
      <c r="K15" s="64"/>
      <c r="L15" s="65"/>
      <c r="M15" s="14">
        <f t="shared" si="1"/>
        <v>843.75</v>
      </c>
      <c r="N15" s="67"/>
    </row>
    <row r="16" spans="1:14">
      <c r="A16" s="16" t="s">
        <v>92</v>
      </c>
      <c r="B16" s="16" t="s">
        <v>93</v>
      </c>
      <c r="C16" s="95" t="s">
        <v>153</v>
      </c>
      <c r="D16" s="58"/>
      <c r="E16" s="60"/>
      <c r="F16" s="73"/>
      <c r="G16" s="58"/>
      <c r="H16" s="59"/>
      <c r="I16" s="60"/>
      <c r="J16" s="7">
        <f>Expenses!G8</f>
        <v>45.42</v>
      </c>
      <c r="K16" s="8">
        <v>0.15</v>
      </c>
      <c r="L16" s="13">
        <f t="shared" ref="L16" si="5">J16*(1+K16)</f>
        <v>52.232999999999997</v>
      </c>
      <c r="M16" s="14">
        <f t="shared" si="1"/>
        <v>52.232999999999997</v>
      </c>
      <c r="N16" s="52" t="s">
        <v>129</v>
      </c>
    </row>
    <row r="17" spans="1:14" ht="30">
      <c r="A17" s="16" t="s">
        <v>94</v>
      </c>
      <c r="B17" s="16" t="s">
        <v>95</v>
      </c>
      <c r="C17" s="95" t="s">
        <v>153</v>
      </c>
      <c r="D17" s="58"/>
      <c r="E17" s="60"/>
      <c r="F17" s="73"/>
      <c r="G17" s="58"/>
      <c r="H17" s="59"/>
      <c r="I17" s="60"/>
      <c r="J17" s="7">
        <f>Expenses!G9</f>
        <v>15.24</v>
      </c>
      <c r="K17" s="8">
        <v>0.15</v>
      </c>
      <c r="L17" s="13">
        <f t="shared" si="0"/>
        <v>17.526</v>
      </c>
      <c r="M17" s="14">
        <f t="shared" si="1"/>
        <v>17.526</v>
      </c>
      <c r="N17" s="52" t="s">
        <v>130</v>
      </c>
    </row>
    <row r="18" spans="1:14" ht="30">
      <c r="A18" s="16" t="s">
        <v>118</v>
      </c>
      <c r="B18" s="16" t="s">
        <v>96</v>
      </c>
      <c r="C18" s="95" t="s">
        <v>153</v>
      </c>
      <c r="D18" s="58"/>
      <c r="E18" s="60"/>
      <c r="F18" s="73"/>
      <c r="G18" s="58"/>
      <c r="H18" s="59"/>
      <c r="I18" s="60"/>
      <c r="J18" s="60"/>
      <c r="K18" s="64"/>
      <c r="L18" s="65"/>
      <c r="M18" s="66"/>
      <c r="N18" s="67"/>
    </row>
    <row r="19" spans="1:14">
      <c r="A19" s="22" t="s">
        <v>119</v>
      </c>
      <c r="B19" s="22" t="s">
        <v>97</v>
      </c>
      <c r="C19" s="95" t="s">
        <v>153</v>
      </c>
      <c r="D19" s="11">
        <v>6</v>
      </c>
      <c r="E19" s="98">
        <f>E4</f>
        <v>187.5</v>
      </c>
      <c r="F19" s="12">
        <f t="shared" si="2"/>
        <v>1125</v>
      </c>
      <c r="G19" s="61"/>
      <c r="H19" s="62"/>
      <c r="I19" s="63"/>
      <c r="J19" s="63"/>
      <c r="K19" s="68"/>
      <c r="L19" s="69"/>
      <c r="M19" s="15">
        <f t="shared" si="1"/>
        <v>1125</v>
      </c>
      <c r="N19" s="67"/>
    </row>
    <row r="20" spans="1:14">
      <c r="A20" s="22" t="s">
        <v>120</v>
      </c>
      <c r="B20" s="16" t="s">
        <v>121</v>
      </c>
      <c r="C20" s="95" t="s">
        <v>153</v>
      </c>
      <c r="D20" s="58"/>
      <c r="E20" s="60"/>
      <c r="F20" s="73"/>
      <c r="G20" s="58"/>
      <c r="H20" s="59"/>
      <c r="I20" s="60"/>
      <c r="J20" s="7">
        <f>Expenses!G10</f>
        <v>46</v>
      </c>
      <c r="K20" s="8">
        <v>0.15</v>
      </c>
      <c r="L20" s="13">
        <f t="shared" ref="L20" si="6">J20*(1+K20)</f>
        <v>52.9</v>
      </c>
      <c r="M20" s="14">
        <f t="shared" ref="M20" si="7">L20+F20</f>
        <v>52.9</v>
      </c>
      <c r="N20" s="52" t="s">
        <v>131</v>
      </c>
    </row>
    <row r="21" spans="1:14" ht="15.75" thickBot="1">
      <c r="A21" s="36" t="s">
        <v>84</v>
      </c>
      <c r="B21" s="22" t="s">
        <v>122</v>
      </c>
      <c r="C21" s="89" t="s">
        <v>153</v>
      </c>
      <c r="D21" s="37">
        <v>0.5</v>
      </c>
      <c r="E21" s="99">
        <f>E4</f>
        <v>187.5</v>
      </c>
      <c r="F21" s="39">
        <f>E21*D21</f>
        <v>93.75</v>
      </c>
      <c r="G21" s="37">
        <v>30</v>
      </c>
      <c r="H21" s="40" t="s">
        <v>101</v>
      </c>
      <c r="I21" s="38">
        <v>0.7</v>
      </c>
      <c r="J21" s="38">
        <f>I21*G21</f>
        <v>21</v>
      </c>
      <c r="K21" s="41">
        <v>0</v>
      </c>
      <c r="L21" s="42">
        <f>J21*(1+K21)</f>
        <v>21</v>
      </c>
      <c r="M21" s="43">
        <f>L21+F21</f>
        <v>114.75</v>
      </c>
      <c r="N21" s="70"/>
    </row>
    <row r="22" spans="1:14" ht="15.75" thickBot="1">
      <c r="A22" s="44"/>
      <c r="B22" s="50"/>
      <c r="C22" s="90"/>
      <c r="D22" s="45">
        <f>SUM(D4:D21)</f>
        <v>20</v>
      </c>
      <c r="E22" s="46"/>
      <c r="F22" s="47">
        <f>SUM(F4:F21)</f>
        <v>5156.25</v>
      </c>
      <c r="G22" s="45"/>
      <c r="H22" s="46"/>
      <c r="I22" s="48"/>
      <c r="J22" s="48"/>
      <c r="K22" s="49"/>
      <c r="L22" s="47">
        <f>SUM(L4:L21)</f>
        <v>1867.6020000000001</v>
      </c>
      <c r="M22" s="47">
        <f>SUM(M4:M21)</f>
        <v>7023.851999999999</v>
      </c>
      <c r="N22" s="54"/>
    </row>
    <row r="23" spans="1:14" ht="22.5" customHeight="1">
      <c r="A23" s="147" t="s">
        <v>154</v>
      </c>
      <c r="B23" s="148"/>
      <c r="C23" s="148"/>
    </row>
  </sheetData>
  <autoFilter ref="A3:N19" xr:uid="{00000000-0009-0000-0000-000001000000}"/>
  <mergeCells count="9">
    <mergeCell ref="M2:M3"/>
    <mergeCell ref="N2:N3"/>
    <mergeCell ref="A1:B2"/>
    <mergeCell ref="A23:C23"/>
    <mergeCell ref="D2:F2"/>
    <mergeCell ref="G2:L2"/>
    <mergeCell ref="D5:D9"/>
    <mergeCell ref="E5:E9"/>
    <mergeCell ref="F5:F9"/>
  </mergeCells>
  <pageMargins left="0.25" right="0.25" top="0.75" bottom="0.75" header="0.3" footer="0.3"/>
  <pageSetup scale="6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4B7F0-1EDC-4005-BBB4-14902CE95AE6}">
  <dimension ref="A1:R39"/>
  <sheetViews>
    <sheetView showGridLines="0" tabSelected="1" topLeftCell="A4" workbookViewId="0">
      <selection activeCell="H39" sqref="A1:H39"/>
    </sheetView>
  </sheetViews>
  <sheetFormatPr defaultRowHeight="15"/>
  <cols>
    <col min="1" max="1" width="15.42578125" customWidth="1"/>
    <col min="2" max="2" width="32.28515625" customWidth="1"/>
    <col min="3" max="3" width="31.7109375" customWidth="1"/>
    <col min="4" max="4" width="14.7109375" customWidth="1"/>
    <col min="5" max="6" width="14" customWidth="1"/>
    <col min="7" max="7" width="16" customWidth="1"/>
    <col min="8" max="8" width="2.7109375" customWidth="1"/>
  </cols>
  <sheetData>
    <row r="1" spans="1:18" ht="28.5">
      <c r="C1" s="158" t="s">
        <v>147</v>
      </c>
      <c r="D1" s="158"/>
      <c r="E1" s="134" t="s">
        <v>146</v>
      </c>
      <c r="F1" s="91" t="s">
        <v>145</v>
      </c>
    </row>
    <row r="2" spans="1:18">
      <c r="E2" s="134" t="s">
        <v>144</v>
      </c>
      <c r="F2" s="83" t="s">
        <v>143</v>
      </c>
    </row>
    <row r="4" spans="1:18" ht="24" customHeight="1">
      <c r="E4" s="134" t="s">
        <v>142</v>
      </c>
    </row>
    <row r="5" spans="1:18" s="80" customFormat="1">
      <c r="B5" s="83"/>
      <c r="C5" s="82"/>
      <c r="E5" s="81"/>
    </row>
    <row r="6" spans="1:18" s="80" customFormat="1">
      <c r="A6" s="75" t="s">
        <v>141</v>
      </c>
      <c r="B6" s="140" t="s">
        <v>140</v>
      </c>
      <c r="E6" s="81"/>
    </row>
    <row r="7" spans="1:18" s="80" customFormat="1">
      <c r="A7" s="75" t="s">
        <v>139</v>
      </c>
      <c r="B7" s="140" t="s">
        <v>148</v>
      </c>
      <c r="E7" s="81"/>
    </row>
    <row r="8" spans="1:18" s="80" customFormat="1">
      <c r="E8" s="81"/>
    </row>
    <row r="9" spans="1:18" ht="15.75" thickBot="1">
      <c r="A9" s="183" t="s">
        <v>134</v>
      </c>
      <c r="B9" s="184"/>
      <c r="C9" s="184"/>
      <c r="D9" s="184"/>
      <c r="E9" s="184"/>
      <c r="F9" s="184"/>
      <c r="G9" s="184"/>
    </row>
    <row r="10" spans="1:18" s="93" customFormat="1">
      <c r="A10" s="102" t="s">
        <v>1</v>
      </c>
      <c r="B10" s="186" t="s">
        <v>11</v>
      </c>
      <c r="C10" s="187"/>
      <c r="D10" s="188"/>
      <c r="E10" s="103" t="s">
        <v>138</v>
      </c>
      <c r="F10" s="103" t="s">
        <v>149</v>
      </c>
      <c r="G10" s="104" t="s">
        <v>105</v>
      </c>
    </row>
    <row r="11" spans="1:18">
      <c r="A11" s="106">
        <v>46226</v>
      </c>
      <c r="B11" s="189" t="s">
        <v>156</v>
      </c>
      <c r="C11" s="190"/>
      <c r="D11" s="191"/>
      <c r="E11" s="105">
        <f>SUM(Itinerary!D4:D12)</f>
        <v>11.25</v>
      </c>
      <c r="F11" s="111">
        <f>G11/E11</f>
        <v>275</v>
      </c>
      <c r="G11" s="107">
        <f>SUM(Itinerary!F4:F14)</f>
        <v>3093.75</v>
      </c>
      <c r="P11" s="180"/>
      <c r="Q11" s="181"/>
      <c r="R11" s="182"/>
    </row>
    <row r="12" spans="1:18" ht="15.75" thickBot="1">
      <c r="A12" s="108">
        <v>46227</v>
      </c>
      <c r="B12" s="192" t="s">
        <v>155</v>
      </c>
      <c r="C12" s="193"/>
      <c r="D12" s="194"/>
      <c r="E12" s="109">
        <f>SUM(Itinerary!D14:D21)</f>
        <v>8.75</v>
      </c>
      <c r="F12" s="112">
        <f>G12/E12</f>
        <v>235.71428571428572</v>
      </c>
      <c r="G12" s="110">
        <f>SUM(Itinerary!F15:F21)</f>
        <v>2062.5</v>
      </c>
      <c r="P12" s="180"/>
      <c r="Q12" s="181"/>
      <c r="R12" s="182"/>
    </row>
    <row r="13" spans="1:18" ht="15.75" thickBot="1">
      <c r="A13" s="165" t="s">
        <v>165</v>
      </c>
      <c r="B13" s="166"/>
      <c r="C13" s="166"/>
      <c r="D13" s="167"/>
      <c r="E13" s="100">
        <f>SUM(E11:E12)</f>
        <v>20</v>
      </c>
      <c r="F13" s="113">
        <f>G13/E13</f>
        <v>257.8125</v>
      </c>
      <c r="G13" s="101">
        <f>SUM(G11:G12)</f>
        <v>5156.25</v>
      </c>
    </row>
    <row r="14" spans="1:18">
      <c r="E14" s="74"/>
      <c r="F14" s="74"/>
      <c r="G14" s="74"/>
    </row>
    <row r="15" spans="1:18">
      <c r="A15" s="183" t="s">
        <v>133</v>
      </c>
      <c r="B15" s="184"/>
      <c r="C15" s="184"/>
      <c r="D15" s="184"/>
      <c r="E15" s="185"/>
      <c r="F15" s="185"/>
      <c r="G15" s="185"/>
    </row>
    <row r="16" spans="1:18" s="93" customFormat="1" ht="15.75" thickBot="1">
      <c r="A16" s="123" t="s">
        <v>1</v>
      </c>
      <c r="B16" s="178" t="s">
        <v>11</v>
      </c>
      <c r="C16" s="179"/>
      <c r="D16" s="123" t="s">
        <v>137</v>
      </c>
      <c r="E16" s="124" t="s">
        <v>136</v>
      </c>
      <c r="F16" s="124" t="s">
        <v>135</v>
      </c>
      <c r="G16" s="124" t="s">
        <v>6</v>
      </c>
    </row>
    <row r="17" spans="1:7">
      <c r="A17" s="114" t="s">
        <v>13</v>
      </c>
      <c r="B17" s="176" t="s">
        <v>164</v>
      </c>
      <c r="C17" s="177"/>
      <c r="D17" s="115" t="s">
        <v>12</v>
      </c>
      <c r="E17" s="116">
        <v>896.8</v>
      </c>
      <c r="F17" s="116">
        <f>E17*0.15</f>
        <v>134.51999999999998</v>
      </c>
      <c r="G17" s="117">
        <f t="shared" ref="G17:G25" si="0">E17+F17</f>
        <v>1031.32</v>
      </c>
    </row>
    <row r="18" spans="1:7">
      <c r="A18" s="118" t="s">
        <v>22</v>
      </c>
      <c r="B18" s="162" t="s">
        <v>157</v>
      </c>
      <c r="C18" s="164"/>
      <c r="D18" s="79" t="s">
        <v>21</v>
      </c>
      <c r="E18" s="78">
        <v>18.72</v>
      </c>
      <c r="F18" s="78">
        <f t="shared" ref="F18:F25" si="1">E18*0.15</f>
        <v>2.8079999999999998</v>
      </c>
      <c r="G18" s="119">
        <f t="shared" si="0"/>
        <v>21.527999999999999</v>
      </c>
    </row>
    <row r="19" spans="1:7">
      <c r="A19" s="118" t="s">
        <v>22</v>
      </c>
      <c r="B19" s="162" t="s">
        <v>158</v>
      </c>
      <c r="C19" s="164"/>
      <c r="D19" s="79" t="s">
        <v>30</v>
      </c>
      <c r="E19" s="78">
        <v>23.23</v>
      </c>
      <c r="F19" s="78">
        <f t="shared" si="1"/>
        <v>3.4845000000000002</v>
      </c>
      <c r="G19" s="119">
        <f t="shared" si="0"/>
        <v>26.714500000000001</v>
      </c>
    </row>
    <row r="20" spans="1:7">
      <c r="A20" s="118" t="s">
        <v>22</v>
      </c>
      <c r="B20" s="162" t="s">
        <v>159</v>
      </c>
      <c r="C20" s="164"/>
      <c r="D20" s="79" t="s">
        <v>37</v>
      </c>
      <c r="E20" s="78">
        <v>307.77</v>
      </c>
      <c r="F20" s="78">
        <f t="shared" si="1"/>
        <v>46.165499999999994</v>
      </c>
      <c r="G20" s="119">
        <f t="shared" si="0"/>
        <v>353.93549999999999</v>
      </c>
    </row>
    <row r="21" spans="1:7">
      <c r="A21" s="118" t="s">
        <v>22</v>
      </c>
      <c r="B21" s="162" t="s">
        <v>161</v>
      </c>
      <c r="C21" s="164"/>
      <c r="D21" s="79" t="s">
        <v>45</v>
      </c>
      <c r="E21" s="78">
        <v>209.3</v>
      </c>
      <c r="F21" s="78">
        <f t="shared" si="1"/>
        <v>31.395</v>
      </c>
      <c r="G21" s="119">
        <f t="shared" si="0"/>
        <v>240.69500000000002</v>
      </c>
    </row>
    <row r="22" spans="1:7">
      <c r="A22" s="118" t="s">
        <v>22</v>
      </c>
      <c r="B22" s="162" t="s">
        <v>171</v>
      </c>
      <c r="C22" s="164"/>
      <c r="D22" s="79" t="s">
        <v>174</v>
      </c>
      <c r="E22" s="78">
        <v>25</v>
      </c>
      <c r="F22" s="78">
        <f t="shared" si="1"/>
        <v>3.75</v>
      </c>
      <c r="G22" s="119">
        <f t="shared" si="0"/>
        <v>28.75</v>
      </c>
    </row>
    <row r="23" spans="1:7">
      <c r="A23" s="118" t="s">
        <v>54</v>
      </c>
      <c r="B23" s="162" t="s">
        <v>160</v>
      </c>
      <c r="C23" s="164"/>
      <c r="D23" s="79" t="s">
        <v>53</v>
      </c>
      <c r="E23" s="78">
        <v>45.42</v>
      </c>
      <c r="F23" s="78">
        <f t="shared" si="1"/>
        <v>6.8129999999999997</v>
      </c>
      <c r="G23" s="119">
        <f t="shared" si="0"/>
        <v>52.233000000000004</v>
      </c>
    </row>
    <row r="24" spans="1:7">
      <c r="A24" s="118" t="s">
        <v>54</v>
      </c>
      <c r="B24" s="162" t="s">
        <v>162</v>
      </c>
      <c r="C24" s="164"/>
      <c r="D24" s="79" t="s">
        <v>61</v>
      </c>
      <c r="E24" s="78">
        <v>15.24</v>
      </c>
      <c r="F24" s="78">
        <f t="shared" si="1"/>
        <v>2.286</v>
      </c>
      <c r="G24" s="119">
        <f t="shared" si="0"/>
        <v>17.526</v>
      </c>
    </row>
    <row r="25" spans="1:7" ht="15.75" thickBot="1">
      <c r="A25" s="120" t="s">
        <v>54</v>
      </c>
      <c r="B25" s="170" t="s">
        <v>163</v>
      </c>
      <c r="C25" s="171"/>
      <c r="D25" s="86" t="s">
        <v>68</v>
      </c>
      <c r="E25" s="87">
        <v>46</v>
      </c>
      <c r="F25" s="87">
        <f t="shared" si="1"/>
        <v>6.8999999999999995</v>
      </c>
      <c r="G25" s="121">
        <f t="shared" si="0"/>
        <v>52.9</v>
      </c>
    </row>
    <row r="26" spans="1:7" ht="15.75" thickBot="1">
      <c r="A26" s="165" t="s">
        <v>169</v>
      </c>
      <c r="B26" s="166"/>
      <c r="C26" s="166"/>
      <c r="D26" s="167"/>
      <c r="E26" s="122">
        <f>SUM(E17:E25)</f>
        <v>1587.48</v>
      </c>
      <c r="F26" s="122">
        <f>SUM(F17:F25)</f>
        <v>238.12199999999996</v>
      </c>
      <c r="G26" s="88">
        <f>SUM(G17:G25)</f>
        <v>1825.6020000000001</v>
      </c>
    </row>
    <row r="27" spans="1:7">
      <c r="E27" s="74"/>
      <c r="F27" s="74"/>
      <c r="G27" s="74"/>
    </row>
    <row r="28" spans="1:7" ht="17.25">
      <c r="A28" s="175" t="s">
        <v>150</v>
      </c>
      <c r="B28" s="175"/>
      <c r="C28" s="175"/>
      <c r="D28" s="175"/>
      <c r="E28" s="175"/>
      <c r="F28" s="175"/>
      <c r="G28" s="175"/>
    </row>
    <row r="29" spans="1:7" s="93" customFormat="1">
      <c r="A29" s="125" t="s">
        <v>1</v>
      </c>
      <c r="B29" s="172" t="s">
        <v>11</v>
      </c>
      <c r="C29" s="173"/>
      <c r="D29" s="174"/>
      <c r="E29" s="126" t="s">
        <v>151</v>
      </c>
      <c r="F29" s="126" t="s">
        <v>166</v>
      </c>
      <c r="G29" s="127" t="s">
        <v>6</v>
      </c>
    </row>
    <row r="30" spans="1:7">
      <c r="A30" s="118" t="s">
        <v>22</v>
      </c>
      <c r="B30" s="162" t="s">
        <v>167</v>
      </c>
      <c r="C30" s="163"/>
      <c r="D30" s="164"/>
      <c r="E30" s="128">
        <v>30</v>
      </c>
      <c r="F30" s="78">
        <v>0.7</v>
      </c>
      <c r="G30" s="78">
        <f>E30*F30</f>
        <v>21</v>
      </c>
    </row>
    <row r="31" spans="1:7" ht="15.75" thickBot="1">
      <c r="A31" s="118" t="s">
        <v>54</v>
      </c>
      <c r="B31" s="162" t="s">
        <v>167</v>
      </c>
      <c r="C31" s="163"/>
      <c r="D31" s="164"/>
      <c r="E31" s="128">
        <v>30</v>
      </c>
      <c r="F31" s="78">
        <v>0.7</v>
      </c>
      <c r="G31" s="78">
        <f>E31*F31</f>
        <v>21</v>
      </c>
    </row>
    <row r="32" spans="1:7" ht="15.75" thickBot="1">
      <c r="A32" s="165" t="s">
        <v>168</v>
      </c>
      <c r="B32" s="166"/>
      <c r="C32" s="166"/>
      <c r="D32" s="167"/>
      <c r="E32" s="129">
        <f>SUM(E30:E31)</f>
        <v>60</v>
      </c>
      <c r="F32" s="122">
        <f>G32/E32</f>
        <v>0.7</v>
      </c>
      <c r="G32" s="88">
        <f t="shared" ref="G32" si="2">SUM(G30:G31)</f>
        <v>42</v>
      </c>
    </row>
    <row r="33" spans="1:7">
      <c r="A33" s="130"/>
      <c r="B33" s="131"/>
      <c r="C33" s="131"/>
      <c r="D33" s="131"/>
      <c r="E33" s="132"/>
      <c r="F33" s="133"/>
      <c r="G33" s="133"/>
    </row>
    <row r="34" spans="1:7">
      <c r="A34" s="134" t="s">
        <v>98</v>
      </c>
      <c r="B34" s="159" t="s">
        <v>175</v>
      </c>
      <c r="C34" s="160"/>
      <c r="D34" s="161"/>
      <c r="E34" s="168" t="s">
        <v>134</v>
      </c>
      <c r="F34" s="168"/>
      <c r="G34" s="77">
        <f>G13</f>
        <v>5156.25</v>
      </c>
    </row>
    <row r="35" spans="1:7">
      <c r="B35" s="135"/>
      <c r="D35" s="136"/>
      <c r="E35" s="168" t="s">
        <v>133</v>
      </c>
      <c r="F35" s="168"/>
      <c r="G35" s="77">
        <f>G26</f>
        <v>1825.6020000000001</v>
      </c>
    </row>
    <row r="36" spans="1:7" ht="15.75" thickBot="1">
      <c r="B36" s="135"/>
      <c r="D36" s="136"/>
      <c r="E36" s="169" t="s">
        <v>170</v>
      </c>
      <c r="F36" s="168"/>
      <c r="G36" s="77">
        <f>G32</f>
        <v>42</v>
      </c>
    </row>
    <row r="37" spans="1:7">
      <c r="B37" s="135"/>
      <c r="D37" s="136"/>
      <c r="E37" s="74"/>
      <c r="F37" s="76" t="s">
        <v>132</v>
      </c>
      <c r="G37" s="76">
        <f>SUM(G34:G36)</f>
        <v>7023.8519999999999</v>
      </c>
    </row>
    <row r="38" spans="1:7">
      <c r="B38" s="137"/>
      <c r="C38" s="138"/>
      <c r="D38" s="139"/>
      <c r="E38" s="74"/>
      <c r="F38" s="74"/>
      <c r="G38" s="74"/>
    </row>
    <row r="39" spans="1:7">
      <c r="E39" s="74"/>
      <c r="F39" s="74"/>
      <c r="G39" s="74"/>
    </row>
  </sheetData>
  <mergeCells count="29">
    <mergeCell ref="P12:R12"/>
    <mergeCell ref="P11:R11"/>
    <mergeCell ref="A15:G15"/>
    <mergeCell ref="A9:G9"/>
    <mergeCell ref="B10:D10"/>
    <mergeCell ref="B11:D11"/>
    <mergeCell ref="B12:D12"/>
    <mergeCell ref="E35:F35"/>
    <mergeCell ref="E36:F36"/>
    <mergeCell ref="B22:C22"/>
    <mergeCell ref="B23:C23"/>
    <mergeCell ref="B24:C24"/>
    <mergeCell ref="B25:C25"/>
    <mergeCell ref="A26:D26"/>
    <mergeCell ref="B29:D29"/>
    <mergeCell ref="B30:D30"/>
    <mergeCell ref="A28:G28"/>
    <mergeCell ref="C1:D1"/>
    <mergeCell ref="B34:D34"/>
    <mergeCell ref="B31:D31"/>
    <mergeCell ref="A32:D32"/>
    <mergeCell ref="E34:F34"/>
    <mergeCell ref="A13:D13"/>
    <mergeCell ref="B17:C17"/>
    <mergeCell ref="B16:C16"/>
    <mergeCell ref="B18:C18"/>
    <mergeCell ref="B19:C19"/>
    <mergeCell ref="B20:C20"/>
    <mergeCell ref="B21:C21"/>
  </mergeCells>
  <pageMargins left="0.5" right="0.5" top="0.25" bottom="0.25" header="0" footer="0"/>
  <pageSetup scale="90" orientation="landscape" r:id="rId1"/>
  <headerFooter>
    <oddFooter>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Expenses</vt:lpstr>
      <vt:lpstr>Itinerary</vt:lpstr>
      <vt:lpstr>Invoice</vt:lpstr>
      <vt:lpstr>Invoice!Print_Area</vt:lpstr>
      <vt:lpstr>Invoice!Print_Titles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Salter</cp:lastModifiedBy>
  <cp:lastPrinted>2026-07-28T07:41:02Z</cp:lastPrinted>
  <dcterms:created xsi:type="dcterms:W3CDTF">2026-07-27T22:50:06Z</dcterms:created>
  <dcterms:modified xsi:type="dcterms:W3CDTF">2026-07-28T07:47:56Z</dcterms:modified>
</cp:coreProperties>
</file>